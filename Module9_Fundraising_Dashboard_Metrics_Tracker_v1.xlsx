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onor Retention" sheetId="2" state="visible" r:id="rId4"/>
    <sheet name="Revenue by Source" sheetId="3" state="visible" r:id="rId5"/>
    <sheet name="Appeal Performance" sheetId="4" state="visible" r:id="rId6"/>
    <sheet name="Monthly Progress" sheetId="5" state="visible" r:id="rId7"/>
    <sheet name="Donor Pyramid" sheetId="6" state="visible" r:id="rId8"/>
    <sheet name="KPI Benchmar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<sst xmlns="http://schemas.openxmlformats.org/spreadsheetml/2006/main" count="432" uniqueCount="353">
  <si>
    <t xml:space="preserve">📊  FUNDRAISING DASHBOARD &amp; METRICS TRACKER</t>
  </si>
  <si>
    <t xml:space="preserve">Module 9 Toolkit  •  Build Your Club Nonprofit Fundraising Course</t>
  </si>
  <si>
    <t xml:space="preserve">Enter your fiscal year and goals below. All KPIs pull live from the data sheets — enter data there to populate this dashboard.</t>
  </si>
  <si>
    <t xml:space="preserve">  ORGANIZATION &amp; FISCAL YEAR SETTINGS</t>
  </si>
  <si>
    <t xml:space="preserve">Organization Name:</t>
  </si>
  <si>
    <t xml:space="preserve">Enter organization name</t>
  </si>
  <si>
    <t xml:space="preserve">Fiscal Year:</t>
  </si>
  <si>
    <t xml:space="preserve">FY2026</t>
  </si>
  <si>
    <t xml:space="preserve">FY Start Date:</t>
  </si>
  <si>
    <t xml:space="preserve">FY End Date:</t>
  </si>
  <si>
    <t xml:space="preserve">Annual Fund Goal ($):</t>
  </si>
  <si>
    <t xml:space="preserve">  REVENUE METRICS</t>
  </si>
  <si>
    <t xml:space="preserve">Total Revenue YTD ($)</t>
  </si>
  <si>
    <t xml:space="preserve">Annual Fund Goal ($)</t>
  </si>
  <si>
    <t xml:space="preserve">% of Goal Achieved</t>
  </si>
  <si>
    <t xml:space="preserve">Remaining to Goal ($)</t>
  </si>
  <si>
    <t xml:space="preserve">Avg Monthly Revenue ($)</t>
  </si>
  <si>
    <t xml:space="preserve">Revenue vs. Prior Year</t>
  </si>
  <si>
    <t xml:space="preserve">  DONOR METRICS</t>
  </si>
  <si>
    <t xml:space="preserve">Total Donors YTD</t>
  </si>
  <si>
    <t xml:space="preserve">New Donors</t>
  </si>
  <si>
    <t xml:space="preserve">Renewed Donors</t>
  </si>
  <si>
    <t xml:space="preserve">Lapsed Donors</t>
  </si>
  <si>
    <t xml:space="preserve">Retention Rate</t>
  </si>
  <si>
    <t xml:space="preserve">Avg Gift Size ($)</t>
  </si>
  <si>
    <t xml:space="preserve">  FUNDRAISING EFFICIENCY METRICS</t>
  </si>
  <si>
    <t xml:space="preserve">Cost to Raise $1</t>
  </si>
  <si>
    <t xml:space="preserve">Return on Investment</t>
  </si>
  <si>
    <t xml:space="preserve"># of Gifts YTD</t>
  </si>
  <si>
    <t xml:space="preserve">Gifts from Major Donors ($)</t>
  </si>
  <si>
    <t xml:space="preserve">Major Gift % of Revenue</t>
  </si>
  <si>
    <t xml:space="preserve">Upgrade Rate</t>
  </si>
  <si>
    <t xml:space="preserve">  INDUSTRY BENCHMARK QUICK REFERENCE</t>
  </si>
  <si>
    <t xml:space="preserve">Metric</t>
  </si>
  <si>
    <t xml:space="preserve">Industry Avg</t>
  </si>
  <si>
    <t xml:space="preserve">Your Score</t>
  </si>
  <si>
    <t xml:space="preserve">Status</t>
  </si>
  <si>
    <t xml:space="preserve">Overall Donor Retention Rate</t>
  </si>
  <si>
    <t xml:space="preserve">45–50%</t>
  </si>
  <si>
    <t xml:space="preserve">New Donor Retention Rate</t>
  </si>
  <si>
    <t xml:space="preserve">20–25%</t>
  </si>
  <si>
    <t xml:space="preserve">Enter manually</t>
  </si>
  <si>
    <t xml:space="preserve">Average Gift Size</t>
  </si>
  <si>
    <t xml:space="preserve">$150–$250</t>
  </si>
  <si>
    <t xml:space="preserve">$0.15–$0.25</t>
  </si>
  <si>
    <t xml:space="preserve">60–80%</t>
  </si>
  <si>
    <t xml:space="preserve">Online Giving % of Revenue</t>
  </si>
  <si>
    <t xml:space="preserve">15–25%</t>
  </si>
  <si>
    <t xml:space="preserve">See Appeal Performance</t>
  </si>
  <si>
    <t xml:space="preserve">🔄  DONOR RETENTION ANALYSIS</t>
  </si>
  <si>
    <t xml:space="preserve">Track donor giving year-over-year. Identify LYBUNT, SYBUNT, new, and lapsed donors.</t>
  </si>
  <si>
    <t xml:space="preserve">LYBUNT = Last Year But Unfortunately Not This Year. SYBUNT = Some Year But Unfortunately Not This Year. Status auto-calculates from giving columns.</t>
  </si>
  <si>
    <t xml:space="preserve">  YEAR-OVER-YEAR SUMMARY</t>
  </si>
  <si>
    <t xml:space="preserve">Prior Year Revenue ($)</t>
  </si>
  <si>
    <t xml:space="preserve">Current Year Revenue ($)</t>
  </si>
  <si>
    <t xml:space="preserve">Revenue Growth ($)</t>
  </si>
  <si>
    <t xml:space="preserve">Revenue Growth %</t>
  </si>
  <si>
    <t xml:space="preserve">Prior Year Donors</t>
  </si>
  <si>
    <t xml:space="preserve">Current Year Donors</t>
  </si>
  <si>
    <t xml:space="preserve">Attrition Rate</t>
  </si>
  <si>
    <t xml:space="preserve">Donor Name</t>
  </si>
  <si>
    <t xml:space="preserve">Donor ID</t>
  </si>
  <si>
    <t xml:space="preserve">Prior Year Gift ($)</t>
  </si>
  <si>
    <t xml:space="preserve">Current Year Gift ($)</t>
  </si>
  <si>
    <t xml:space="preserve">Giving Streak (Yrs)</t>
  </si>
  <si>
    <t xml:space="preserve">First Gift Year</t>
  </si>
  <si>
    <t xml:space="preserve">Cumulative Giving ($)</t>
  </si>
  <si>
    <t xml:space="preserve">Segment</t>
  </si>
  <si>
    <t xml:space="preserve">Notes</t>
  </si>
  <si>
    <t xml:space="preserve">Smith, Robert</t>
  </si>
  <si>
    <t xml:space="preserve">D001</t>
  </si>
  <si>
    <t xml:space="preserve">Renewed</t>
  </si>
  <si>
    <t xml:space="preserve">Mid-Level</t>
  </si>
  <si>
    <t xml:space="preserve">Consistent annual donor</t>
  </si>
  <si>
    <t xml:space="preserve">Johnson, Mary</t>
  </si>
  <si>
    <t xml:space="preserve">D002</t>
  </si>
  <si>
    <t xml:space="preserve">Upgraded</t>
  </si>
  <si>
    <t xml:space="preserve">Increased gift — acknowledge!</t>
  </si>
  <si>
    <t xml:space="preserve">Williams, David</t>
  </si>
  <si>
    <t xml:space="preserve">D003</t>
  </si>
  <si>
    <t xml:space="preserve">Lapsed</t>
  </si>
  <si>
    <t xml:space="preserve">General</t>
  </si>
  <si>
    <t xml:space="preserve">No gift this year — follow up</t>
  </si>
  <si>
    <t xml:space="preserve">Brown, Patricia</t>
  </si>
  <si>
    <t xml:space="preserve">D004</t>
  </si>
  <si>
    <t xml:space="preserve">New</t>
  </si>
  <si>
    <t xml:space="preserve">First-time donor</t>
  </si>
  <si>
    <t xml:space="preserve">Jones, Michael</t>
  </si>
  <si>
    <t xml:space="preserve">D005</t>
  </si>
  <si>
    <t xml:space="preserve">Major Donor</t>
  </si>
  <si>
    <t xml:space="preserve">Annual campaign leadership gift</t>
  </si>
  <si>
    <t xml:space="preserve">Garcia, Linda</t>
  </si>
  <si>
    <t xml:space="preserve">D006</t>
  </si>
  <si>
    <t xml:space="preserve">LYBUNT</t>
  </si>
  <si>
    <t xml:space="preserve">Contact before year-end</t>
  </si>
  <si>
    <t xml:space="preserve">Martinez, James</t>
  </si>
  <si>
    <t xml:space="preserve">D007</t>
  </si>
  <si>
    <t xml:space="preserve">SYBUNT</t>
  </si>
  <si>
    <t xml:space="preserve">Lapsed 2+ years</t>
  </si>
  <si>
    <t xml:space="preserve">Anderson, Barbara</t>
  </si>
  <si>
    <t xml:space="preserve">D008</t>
  </si>
  <si>
    <t xml:space="preserve">Moving toward major gift range</t>
  </si>
  <si>
    <t xml:space="preserve">Taylor, Charles</t>
  </si>
  <si>
    <t xml:space="preserve">D009</t>
  </si>
  <si>
    <t xml:space="preserve">Long-term major donor</t>
  </si>
  <si>
    <t xml:space="preserve">Thomas, Susan</t>
  </si>
  <si>
    <t xml:space="preserve">D010</t>
  </si>
  <si>
    <t xml:space="preserve">Recaptured</t>
  </si>
  <si>
    <t xml:space="preserve">Lapsed but re-engaged this year</t>
  </si>
  <si>
    <t xml:space="preserve">💵  REVENUE BY SOURCE TRACKER</t>
  </si>
  <si>
    <t xml:space="preserve">Track revenue diversification across all funding streams. Healthy nonprofits diversify across 4+ sources.</t>
  </si>
  <si>
    <t xml:space="preserve">Enter actual revenue in column D. Budgeted amounts in column C. The % of Total and Diversification Score auto-calculate.</t>
  </si>
  <si>
    <t xml:space="preserve">  REVENUE SUMMARY</t>
  </si>
  <si>
    <t xml:space="preserve">Total Budget ($)</t>
  </si>
  <si>
    <t xml:space="preserve">Total Actual ($)</t>
  </si>
  <si>
    <t xml:space="preserve">Variance ($)</t>
  </si>
  <si>
    <t xml:space="preserve">% of Budget</t>
  </si>
  <si>
    <t xml:space="preserve"># Active Sources</t>
  </si>
  <si>
    <t xml:space="preserve">Diversification Score</t>
  </si>
  <si>
    <t xml:space="preserve">Funding Source</t>
  </si>
  <si>
    <t xml:space="preserve">Category</t>
  </si>
  <si>
    <t xml:space="preserve">Budget ($)</t>
  </si>
  <si>
    <t xml:space="preserve">Actual ($)</t>
  </si>
  <si>
    <t xml:space="preserve">% of Total</t>
  </si>
  <si>
    <t xml:space="preserve">Prior Year ($)</t>
  </si>
  <si>
    <t xml:space="preserve">YoY Change</t>
  </si>
  <si>
    <t xml:space="preserve">Major Gifts ($10K+)</t>
  </si>
  <si>
    <t xml:space="preserve">Individual Giving</t>
  </si>
  <si>
    <t xml:space="preserve">Mid-Level Gifts ($1K–$9,999)</t>
  </si>
  <si>
    <t xml:space="preserve">General Annual Fund (&lt;$1K)</t>
  </si>
  <si>
    <t xml:space="preserve">Planned Gifts / Bequests</t>
  </si>
  <si>
    <t xml:space="preserve">Corporate Sponsorships</t>
  </si>
  <si>
    <t xml:space="preserve">Corporate</t>
  </si>
  <si>
    <t xml:space="preserve">Corporate Matching Gifts</t>
  </si>
  <si>
    <t xml:space="preserve">Foundation Grants</t>
  </si>
  <si>
    <t xml:space="preserve">Grants</t>
  </si>
  <si>
    <t xml:space="preserve">Government Grants</t>
  </si>
  <si>
    <t xml:space="preserve">Annual Gala / Benefit Event</t>
  </si>
  <si>
    <t xml:space="preserve">Events</t>
  </si>
  <si>
    <t xml:space="preserve">Golf Tournament</t>
  </si>
  <si>
    <t xml:space="preserve">Other Special Events</t>
  </si>
  <si>
    <t xml:space="preserve">Online / Peer-to-Peer</t>
  </si>
  <si>
    <t xml:space="preserve">Digital</t>
  </si>
  <si>
    <t xml:space="preserve">Direct Mail Appeals</t>
  </si>
  <si>
    <t xml:space="preserve">Annual Fund</t>
  </si>
  <si>
    <t xml:space="preserve">Email Campaigns</t>
  </si>
  <si>
    <t xml:space="preserve">Membership Dues</t>
  </si>
  <si>
    <t xml:space="preserve">Membership</t>
  </si>
  <si>
    <t xml:space="preserve">Program / Service Fees</t>
  </si>
  <si>
    <t xml:space="preserve">Earned Revenue</t>
  </si>
  <si>
    <t xml:space="preserve">Investment Income</t>
  </si>
  <si>
    <t xml:space="preserve">Other</t>
  </si>
  <si>
    <t xml:space="preserve">In-Kind Donations</t>
  </si>
  <si>
    <t xml:space="preserve">TOTAL</t>
  </si>
  <si>
    <t xml:space="preserve">📬  APPEAL PERFORMANCE TRACKER</t>
  </si>
  <si>
    <t xml:space="preserve">Measure the effectiveness of every fundraising appeal — mail, email, digital, events, and more.</t>
  </si>
  <si>
    <t xml:space="preserve">Track each appeal from launch through close. Response Rate = # Gifts / # Solicited. ROI = Revenue / Cost. Cost per Dollar Raised = Cost / Revenue.</t>
  </si>
  <si>
    <t xml:space="preserve">  APPEAL SUMMARY TOTALS</t>
  </si>
  <si>
    <t xml:space="preserve">Total Solicitations Sent</t>
  </si>
  <si>
    <t xml:space="preserve">Total Gifts Received</t>
  </si>
  <si>
    <t xml:space="preserve">Overall Response Rate</t>
  </si>
  <si>
    <t xml:space="preserve">Total Revenue Raised ($)</t>
  </si>
  <si>
    <t xml:space="preserve">Total Cost ($)</t>
  </si>
  <si>
    <t xml:space="preserve">Overall ROI</t>
  </si>
  <si>
    <t xml:space="preserve">Cost per $ Raised</t>
  </si>
  <si>
    <t xml:space="preserve">Appeal Name</t>
  </si>
  <si>
    <t xml:space="preserve">Channel</t>
  </si>
  <si>
    <t xml:space="preserve">Launch Date</t>
  </si>
  <si>
    <t xml:space="preserve"># Solicited</t>
  </si>
  <si>
    <t xml:space="preserve"># Gifts</t>
  </si>
  <si>
    <t xml:space="preserve">Revenue ($)</t>
  </si>
  <si>
    <t xml:space="preserve">Cost ($)</t>
  </si>
  <si>
    <t xml:space="preserve">Response Rate</t>
  </si>
  <si>
    <t xml:space="preserve">Avg Gift ($)</t>
  </si>
  <si>
    <t xml:space="preserve">ROI</t>
  </si>
  <si>
    <t xml:space="preserve">Year-End Mail Appeal</t>
  </si>
  <si>
    <t xml:space="preserve">Direct Mail</t>
  </si>
  <si>
    <t xml:space="preserve">2025-11-01</t>
  </si>
  <si>
    <t xml:space="preserve">Fall Solicitation</t>
  </si>
  <si>
    <t xml:space="preserve">Spring Email Campaign</t>
  </si>
  <si>
    <t xml:space="preserve">Email</t>
  </si>
  <si>
    <t xml:space="preserve">2025-03-15</t>
  </si>
  <si>
    <t xml:space="preserve">3-email series</t>
  </si>
  <si>
    <t xml:space="preserve">GivingTuesday Online</t>
  </si>
  <si>
    <t xml:space="preserve">2025-12-03</t>
  </si>
  <si>
    <t xml:space="preserve">Peer-to-peer + social media</t>
  </si>
  <si>
    <t xml:space="preserve">Annual Gala</t>
  </si>
  <si>
    <t xml:space="preserve">Event</t>
  </si>
  <si>
    <t xml:space="preserve">2025-10-15</t>
  </si>
  <si>
    <t xml:space="preserve">Net revenue after costs</t>
  </si>
  <si>
    <t xml:space="preserve">2025-06-10</t>
  </si>
  <si>
    <t xml:space="preserve">Sponsorship + registrations</t>
  </si>
  <si>
    <t xml:space="preserve">Major Gift Solicitations</t>
  </si>
  <si>
    <t xml:space="preserve">Personal Ask</t>
  </si>
  <si>
    <t xml:space="preserve">2025-01-01</t>
  </si>
  <si>
    <t xml:space="preserve">CEO + Board outreach</t>
  </si>
  <si>
    <t xml:space="preserve">Monthly Giving Acquisition</t>
  </si>
  <si>
    <t xml:space="preserve">2025-04-01</t>
  </si>
  <si>
    <t xml:space="preserve">12-month projected value</t>
  </si>
  <si>
    <t xml:space="preserve">Foundation Grant Proposals</t>
  </si>
  <si>
    <t xml:space="preserve">2025-02-01</t>
  </si>
  <si>
    <t xml:space="preserve">Includes research time</t>
  </si>
  <si>
    <t xml:space="preserve">Summer Lapsed Donor Reactivation</t>
  </si>
  <si>
    <t xml:space="preserve">2025-07-01</t>
  </si>
  <si>
    <t xml:space="preserve">LYBUNT outreach</t>
  </si>
  <si>
    <t xml:space="preserve">📈  MONTHLY FUNDRAISING PROGRESS TRACKER</t>
  </si>
  <si>
    <t xml:space="preserve">Track revenue month-by-month against your annual goal. Cumulative totals update automatically.</t>
  </si>
  <si>
    <t xml:space="preserve">Enter actual revenue in column C each month. Projections, cumulative totals, and % of goal auto-calculate.</t>
  </si>
  <si>
    <t xml:space="preserve">  ANNUAL GOAL SETTINGS</t>
  </si>
  <si>
    <t xml:space="preserve">Annual Revenue Goal ($):</t>
  </si>
  <si>
    <t xml:space="preserve">Monthly Average Needed ($):</t>
  </si>
  <si>
    <t xml:space="preserve">YTD Actual ($):</t>
  </si>
  <si>
    <t xml:space="preserve">YTD Goal Pace ($):</t>
  </si>
  <si>
    <t xml:space="preserve">Ahead / Behind ($):</t>
  </si>
  <si>
    <t xml:space="preserve">  MONTHLY REVENUE LOG</t>
  </si>
  <si>
    <t xml:space="preserve">  Tip: Enter each revenue source separately or combined by month — whatever matches your reporting.</t>
  </si>
  <si>
    <t xml:space="preserve">Month</t>
  </si>
  <si>
    <t xml:space="preserve">Month Goal ($)</t>
  </si>
  <si>
    <t xml:space="preserve">Major Gifts ($)</t>
  </si>
  <si>
    <t xml:space="preserve">Annual Fund ($)</t>
  </si>
  <si>
    <t xml:space="preserve">Grants ($)</t>
  </si>
  <si>
    <t xml:space="preserve">Events ($)</t>
  </si>
  <si>
    <t xml:space="preserve">Online ($)</t>
  </si>
  <si>
    <t xml:space="preserve">Cumulative ($)</t>
  </si>
  <si>
    <t xml:space="preserve">% of Annual Goal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</si>
  <si>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</si>
  <si>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</si>
  <si>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</si>
  <si>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</si>
  <si>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</si>
  <si>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</si>
  <si>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</si>
  <si>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</si>
  <si>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</si>
  <si>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</si>
  <si>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</si>
  <si>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</si>
  <si>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ANNUAL TOTAL</t>
  </si>
  <si>
    <t xml:space="preserve">🔺  DONOR PYRAMID ANALYSIS</t>
  </si>
  <si>
    <t xml:space="preserve">Understand your donor base by gift tier. Identify upgrade potential and pipeline gaps.</t>
  </si>
  <si>
    <t xml:space="preserve">Enter actual donor counts and revenue in columns D and E. Benchmarks and upgrade targets auto-calculate.</t>
  </si>
  <si>
    <t xml:space="preserve">  PYRAMID SUMMARY</t>
  </si>
  <si>
    <t xml:space="preserve">Total Donors</t>
  </si>
  <si>
    <t xml:space="preserve">Total Revenue ($)</t>
  </si>
  <si>
    <t xml:space="preserve">Major Gift % of Rev</t>
  </si>
  <si>
    <t xml:space="preserve">Mid-Level % of Rev</t>
  </si>
  <si>
    <t xml:space="preserve">Upgrade Opportunities</t>
  </si>
  <si>
    <t xml:space="preserve">Tier</t>
  </si>
  <si>
    <t xml:space="preserve">Gift Range</t>
  </si>
  <si>
    <t xml:space="preserve"># Donors (Actual)</t>
  </si>
  <si>
    <t xml:space="preserve"># Donors (Goal)</t>
  </si>
  <si>
    <t xml:space="preserve">% of Total Rev</t>
  </si>
  <si>
    <t xml:space="preserve">Upgrade Target</t>
  </si>
  <si>
    <t xml:space="preserve">Principal Donor</t>
  </si>
  <si>
    <t xml:space="preserve">$50,000+</t>
  </si>
  <si>
    <t xml:space="preserve">$10,000–$49,999</t>
  </si>
  <si>
    <t xml:space="preserve">Leadership Donor</t>
  </si>
  <si>
    <t xml:space="preserve">$5,000–$9,999</t>
  </si>
  <si>
    <t xml:space="preserve">$1,000–$4,999</t>
  </si>
  <si>
    <t xml:space="preserve">$500–$999</t>
  </si>
  <si>
    <t xml:space="preserve">$250–$499</t>
  </si>
  <si>
    <t xml:space="preserve">$100–$249</t>
  </si>
  <si>
    <t xml:space="preserve">$50–$99</t>
  </si>
  <si>
    <t xml:space="preserve">$1–$49</t>
  </si>
  <si>
    <t xml:space="preserve">First-Time</t>
  </si>
  <si>
    <t xml:space="preserve">Any Amount</t>
  </si>
  <si>
    <t xml:space="preserve">No gift this yr</t>
  </si>
  <si>
    <t xml:space="preserve">100%</t>
  </si>
  <si>
    <t xml:space="preserve">🏅  FUNDRAISING KPI BENCHMARKS &amp; GOAL-SETTING</t>
  </si>
  <si>
    <t xml:space="preserve">Compare your metrics to industry standards. Set improvement targets and track progress.</t>
  </si>
  <si>
    <t xml:space="preserve">Industry benchmarks are based on AFP, Fundraising Effectiveness Project, and Blackbaud data. Enter your actuals in column D and goals in column F.</t>
  </si>
  <si>
    <t xml:space="preserve">  KEY PERFORMANCE INDICATORS — INDUSTRY BENCHMARKS</t>
  </si>
  <si>
    <t xml:space="preserve">KPI</t>
  </si>
  <si>
    <t xml:space="preserve">Industry Low</t>
  </si>
  <si>
    <t xml:space="preserve">Industry High</t>
  </si>
  <si>
    <t xml:space="preserve">Your Actual</t>
  </si>
  <si>
    <t xml:space="preserve">Your Goal</t>
  </si>
  <si>
    <t xml:space="preserve">Retention</t>
  </si>
  <si>
    <t xml:space="preserve">40%</t>
  </si>
  <si>
    <t xml:space="preserve">45%</t>
  </si>
  <si>
    <t xml:space="preserve">55%</t>
  </si>
  <si>
    <t xml:space="preserve">18%</t>
  </si>
  <si>
    <t xml:space="preserve">23%</t>
  </si>
  <si>
    <t xml:space="preserve">30%</t>
  </si>
  <si>
    <t xml:space="preserve">Major Donor Retention Rate</t>
  </si>
  <si>
    <t xml:space="preserve">75%</t>
  </si>
  <si>
    <t xml:space="preserve">85%</t>
  </si>
  <si>
    <t xml:space="preserve">95%</t>
  </si>
  <si>
    <t xml:space="preserve">Donor Upgrade Rate</t>
  </si>
  <si>
    <t xml:space="preserve">10%</t>
  </si>
  <si>
    <t xml:space="preserve">15%</t>
  </si>
  <si>
    <t xml:space="preserve">25%</t>
  </si>
  <si>
    <t xml:space="preserve">Average Gift Size (All Donors)</t>
  </si>
  <si>
    <t xml:space="preserve">Gift Metrics</t>
  </si>
  <si>
    <t xml:space="preserve">$75</t>
  </si>
  <si>
    <t xml:space="preserve">$150</t>
  </si>
  <si>
    <t xml:space="preserve">$300</t>
  </si>
  <si>
    <t xml:space="preserve">Average Major Gift Size</t>
  </si>
  <si>
    <t xml:space="preserve">$10K</t>
  </si>
  <si>
    <t xml:space="preserve">$25K</t>
  </si>
  <si>
    <t xml:space="preserve">$100K+</t>
  </si>
  <si>
    <t xml:space="preserve">Median Gift Size</t>
  </si>
  <si>
    <t xml:space="preserve">$50</t>
  </si>
  <si>
    <t xml:space="preserve">$100</t>
  </si>
  <si>
    <t xml:space="preserve">$200</t>
  </si>
  <si>
    <t xml:space="preserve">Cost to Raise $1 (Overall)</t>
  </si>
  <si>
    <t xml:space="preserve">Efficiency</t>
  </si>
  <si>
    <t xml:space="preserve">$0.30</t>
  </si>
  <si>
    <t xml:space="preserve">$0.20</t>
  </si>
  <si>
    <t xml:space="preserve">$0.10</t>
  </si>
  <si>
    <t xml:space="preserve">Cost per New Donor Acquired</t>
  </si>
  <si>
    <t xml:space="preserve">$25</t>
  </si>
  <si>
    <t xml:space="preserve">Direct Mail Response Rate</t>
  </si>
  <si>
    <t xml:space="preserve">Appeals</t>
  </si>
  <si>
    <t xml:space="preserve">0.5%</t>
  </si>
  <si>
    <t xml:space="preserve">1.0%</t>
  </si>
  <si>
    <t xml:space="preserve">2.5%</t>
  </si>
  <si>
    <t xml:space="preserve">Email Appeal Response Rate</t>
  </si>
  <si>
    <t xml:space="preserve">1.5%</t>
  </si>
  <si>
    <t xml:space="preserve">3.0%</t>
  </si>
  <si>
    <t xml:space="preserve">Online Giving % of Total Revenue</t>
  </si>
  <si>
    <t xml:space="preserve">20%</t>
  </si>
  <si>
    <t xml:space="preserve">35%</t>
  </si>
  <si>
    <t xml:space="preserve">Monthly Giving Donors (% of base)</t>
  </si>
  <si>
    <t xml:space="preserve">5%</t>
  </si>
  <si>
    <t xml:space="preserve">12%</t>
  </si>
  <si>
    <t xml:space="preserve">Major Gifts % of Total Revenue</t>
  </si>
  <si>
    <t xml:space="preserve">Diversification</t>
  </si>
  <si>
    <t xml:space="preserve">60%</t>
  </si>
  <si>
    <t xml:space="preserve">70%</t>
  </si>
  <si>
    <t xml:space="preserve">Revenue from Top 10 Donors</t>
  </si>
  <si>
    <t xml:space="preserve"># of Funding Sources</t>
  </si>
  <si>
    <t xml:space="preserve">3</t>
  </si>
  <si>
    <t xml:space="preserve">5</t>
  </si>
  <si>
    <t xml:space="preserve">7+</t>
  </si>
  <si>
    <t xml:space="preserve">Board Giving Participation</t>
  </si>
  <si>
    <t xml:space="preserve">Governance</t>
  </si>
  <si>
    <t xml:space="preserve">80%</t>
  </si>
  <si>
    <t xml:space="preserve">Revenue Growth Year-over-Year</t>
  </si>
  <si>
    <t xml:space="preserve">Growth</t>
  </si>
  <si>
    <t xml:space="preserve">2%</t>
  </si>
  <si>
    <t xml:space="preserve">Fundraising ROI ($ raised / $ spent)</t>
  </si>
  <si>
    <t xml:space="preserve">$3</t>
  </si>
  <si>
    <t xml:space="preserve">$5</t>
  </si>
  <si>
    <t xml:space="preserve">$10</t>
  </si>
  <si>
    <t xml:space="preserve">Prospect-to-Donor Conversion Rate</t>
  </si>
  <si>
    <t xml:space="preserve">Pipeline</t>
  </si>
  <si>
    <t xml:space="preserve">  DATA SOURCES &amp; NOTES</t>
  </si>
  <si>
    <t xml:space="preserve">• AFP Fundraising Effectiveness Project (FEP): Annual report on donor retention, gift sizes, and upgrade rates across 10,000+ nonprofits.</t>
  </si>
  <si>
    <t xml:space="preserve">• Blackbaud Institute Index: Sector-specific benchmarks for online giving, direct response, and digital fundraising.</t>
  </si>
  <si>
    <t xml:space="preserve">• M+R Benchmarks Study: Annual report on digital fundraising, email, mobile, and social media metrics for nonprofits.</t>
  </si>
  <si>
    <t xml:space="preserve">• Chronicle of Philanthropy: Annual fundraising reports and sector analysis.</t>
  </si>
  <si>
    <t xml:space="preserve">• Note: Benchmarks vary significantly by organization size, sector, and geography. Use as directional guides, not absolute targets.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</si>
</sst>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9922A"/>
        <bgColor rgb="FFD97706"/>
      </patternFill>
    </fill>
    <fill>
      <patternFill patternType="solid">
        <fgColor rgb="FFF3F4F6"/>
        <bgColor rgb="FFF5F3FF"/>
      </patternFill>
    </fill>
    <fill>
      <patternFill patternType="solid">
        <fgColor rgb="FFE8EDF5"/>
        <bgColor rgb="FFE5E7EB"/>
      </patternFill>
    </fill>
    <fill>
      <patternFill patternType="solid">
        <fgColor rgb="FFFFF3CD"/>
        <bgColor rgb="FFFDF3E3"/>
      </patternFill>
    </fill>
    <fill>
      <patternFill patternType="solid">
        <fgColor rgb="FF059669"/>
        <bgColor rgb="FF339966"/>
      </patternFill>
    </fill>
    <fill>
      <patternFill patternType="solid">
        <fgColor rgb="FFECFDF5"/>
        <bgColor rgb="FFE6F7F7"/>
      </patternFill>
    </fill>
    <fill>
      <patternFill patternType="solid">
        <fgColor rgb="FF0D7377"/>
        <bgColor rgb="FF059669"/>
      </patternFill>
    </fill>
    <fill>
      <patternFill patternType="solid">
        <fgColor rgb="FFE6F7F7"/>
        <bgColor rgb="FFECFDF5"/>
      </patternFill>
    </fill>
    <fill>
      <patternFill patternType="solid">
        <fgColor rgb="FF7C3AED"/>
        <bgColor rgb="FF4338CA"/>
      </patternFill>
    </fill>
    <fill>
      <patternFill patternType="solid">
        <fgColor rgb="FFF5F3FF"/>
        <bgColor rgb="FFF3F4F6"/>
      </patternFill>
    </fill>
    <fill>
      <patternFill patternType="solid">
        <fgColor rgb="FF4338CA"/>
        <bgColor rgb="FF7C3AED"/>
      </patternFill>
    </fill>
    <fill>
      <patternFill patternType="solid">
        <fgColor rgb="FFFFFFFF"/>
        <bgColor rgb="FFFEFCE8"/>
      </patternFill>
    </fill>
    <fill>
      <patternFill patternType="solid">
        <fgColor rgb="FFFEF2F2"/>
        <bgColor rgb="FFFDF3E3"/>
      </patternFill>
    </fill>
    <fill>
      <patternFill patternType="solid">
        <fgColor rgb="FFFEFCE8"/>
        <bgColor rgb="FFFDF3E3"/>
      </patternFill>
    </fill>
    <fill>
      <patternFill patternType="solid">
        <fgColor rgb="FFFDF3E3"/>
        <bgColor rgb="FFFEF2F2"/>
      </patternFill>
    </fill>
    <fill>
      <patternFill patternType="solid">
        <fgColor rgb="FFE5E7EB"/>
        <bgColor rgb="FFE8EDF5"/>
      </patternFill>
    </fill>
    <fill>
      <patternFill patternType="solid">
        <fgColor rgb="FFD97706"/>
        <bgColor rgb="FFC9922A"/>
      </patternFill>
    </fill>
    <fill>
      <patternFill patternType="solid">
        <fgColor rgb="FFEEF2FF"/>
        <bgColor rgb="FFF5F3FF"/>
      </patternFill>
    </fill>
    <fill>
      <patternFill patternType="solid">
        <fgColor rgb="FF6B7280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CE8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EEF2FF"/>
      <rgbColor rgb="FF808080"/>
      <rgbColor rgb="FF9999FF"/>
      <rgbColor rgb="FF7C3AED"/>
      <rgbColor rgb="FFFFF3CD"/>
      <rgbColor rgb="FFE6F7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CFDF5"/>
      <rgbColor rgb="FFE8EDF5"/>
      <rgbColor rgb="FFFDF3E3"/>
      <rgbColor rgb="FFF3F4F6"/>
      <rgbColor rgb="FFFEF2F2"/>
      <rgbColor rgb="FFF5F3FF"/>
      <rgbColor rgb="FFE5E7EB"/>
      <rgbColor rgb="FF3366FF"/>
      <rgbColor rgb="FF33CCCC"/>
      <rgbColor rgb="FF99CC00"/>
      <rgbColor rgb="FFFFCC00"/>
      <rgbColor rgb="FFC9922A"/>
      <rgbColor rgb="FFD97706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4338C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  <col collapsed="false" customWidth="true" hidden="false" outlineLevel="0" max="12" min="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7.5" hidden="false" customHeight="true" outlineLevel="0" collapsed="false"/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A6" s="5" t="s">
        <v>4</v>
      </c>
      <c r="B6" s="5"/>
      <c r="C6" s="5"/>
      <c r="D6" s="6" t="s">
        <v>5</v>
      </c>
      <c r="E6" s="6"/>
      <c r="F6" s="6"/>
      <c r="G6" s="6"/>
    </row>
    <row r="7" customFormat="false" ht="18" hidden="false" customHeight="true" outlineLevel="0" collapsed="false">
      <c r="A7" s="5" t="s">
        <v>6</v>
      </c>
      <c r="B7" s="5"/>
      <c r="C7" s="5"/>
      <c r="D7" s="6" t="s">
        <v>7</v>
      </c>
      <c r="E7" s="6"/>
      <c r="F7" s="6"/>
      <c r="G7" s="6"/>
    </row>
    <row r="8" customFormat="false" ht="18" hidden="false" customHeight="true" outlineLevel="0" collapsed="false">
      <c r="A8" s="5" t="s">
        <v>8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5" t="s">
        <v>9</v>
      </c>
      <c r="B9" s="5"/>
      <c r="C9" s="5"/>
      <c r="D9" s="6"/>
      <c r="E9" s="6"/>
      <c r="F9" s="6"/>
      <c r="G9" s="6"/>
    </row>
    <row r="10" customFormat="false" ht="18" hidden="false" customHeight="true" outlineLevel="0" collapsed="false">
      <c r="A10" s="5" t="s">
        <v>10</v>
      </c>
      <c r="B10" s="5"/>
      <c r="C10" s="5"/>
      <c r="D10" s="6"/>
      <c r="E10" s="6"/>
      <c r="F10" s="6"/>
      <c r="G10" s="6"/>
    </row>
    <row r="11" customFormat="false" ht="7.5" hidden="false" customHeight="true" outlineLevel="0" collapsed="false"/>
    <row r="12" customFormat="false" ht="18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.75" hidden="false" customHeight="true" outlineLevel="0" collapsed="false">
      <c r="A13" s="8" t="s">
        <v>12</v>
      </c>
      <c r="B13" s="8" t="s">
        <v>13</v>
      </c>
      <c r="C13" s="8" t="s">
        <v>14</v>
      </c>
      <c r="D13" s="8" t="s">
        <v>15</v>
      </c>
      <c r="E13" s="8" t="s">
        <v>16</v>
      </c>
      <c r="F13" s="8" t="s">
        <v>17</v>
      </c>
    </row>
    <row r="14" customFormat="false" ht="19.5" hidden="false" customHeight="true" outlineLevel="0" collapsed="false">
      <c r="A14" s="9" t="n">
        <f aca="false">SUM('Monthly Progress'!C18:C29)</f>
        <v>0</v>
      </c>
      <c r="B14" s="9" t="n">
        <f aca="false">D10</f>
        <v>0</v>
      </c>
      <c r="C14" s="9" t="str">
        <f aca="false">IF(D10=0,"-",A14/D10)</f>
        <v>-</v>
      </c>
      <c r="D14" s="9" t="str">
        <f aca="false">IF(D10=0,"-",D10-A14)</f>
        <v>-</v>
      </c>
      <c r="E14" s="9" t="n">
        <f aca="false">IF(COUNTA('Monthly Progress'!C18:C29)=0,"-",A14/COUNTA('Monthly Progress'!C18:C29))</f>
        <v>0</v>
      </c>
      <c r="F14" s="9" t="str">
        <f aca="false">IF('Donor Retention'!A7=0,"-",A14/'Donor Retention'!A7-1)</f>
        <v>-</v>
      </c>
    </row>
    <row r="15" customFormat="false" ht="7.5" hidden="false" customHeight="true" outlineLevel="0" collapsed="false"/>
    <row r="16" customFormat="false" ht="18" hidden="false" customHeight="true" outlineLevel="0" collapsed="false">
      <c r="A16" s="10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customFormat="false" ht="15.75" hidden="false" customHeight="true" outlineLevel="0" collapsed="false">
      <c r="A17" s="11" t="s">
        <v>19</v>
      </c>
      <c r="B17" s="11" t="s">
        <v>20</v>
      </c>
      <c r="C17" s="11" t="s">
        <v>21</v>
      </c>
      <c r="D17" s="11" t="s">
        <v>22</v>
      </c>
      <c r="E17" s="11" t="s">
        <v>23</v>
      </c>
      <c r="F17" s="11" t="s">
        <v>24</v>
      </c>
    </row>
    <row r="18" customFormat="false" ht="19.5" hidden="false" customHeight="true" outlineLevel="0" collapsed="false">
      <c r="A18" s="12" t="n">
        <f aca="false">COUNTA('Donor Retention'!A10:A209)</f>
        <v>10</v>
      </c>
      <c r="B18" s="12" t="n">
        <f aca="false">COUNTIF('Donor Retention'!E10:E209,"New")</f>
        <v>1</v>
      </c>
      <c r="C18" s="12" t="n">
        <f aca="false">COUNTIF('Donor Retention'!E10:E209,"Renewed")</f>
        <v>3</v>
      </c>
      <c r="D18" s="12" t="n">
        <f aca="false">COUNTIF('Donor Retention'!E10:E209,"Lapsed")</f>
        <v>1</v>
      </c>
      <c r="E18" s="12" t="n">
        <f aca="false">IF((C18+D18)=0,"-",C18/(C18+D18))</f>
        <v>0.75</v>
      </c>
      <c r="F18" s="12" t="n">
        <f aca="false">IF(A18=0,"-",'Monthly Progress'!C30/A18)</f>
        <v>0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3" t="s">
        <v>25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customFormat="false" ht="15.75" hidden="false" customHeight="true" outlineLevel="0" collapsed="false">
      <c r="A21" s="14" t="s">
        <v>26</v>
      </c>
      <c r="B21" s="14" t="s">
        <v>27</v>
      </c>
      <c r="C21" s="14" t="s">
        <v>28</v>
      </c>
      <c r="D21" s="14" t="s">
        <v>29</v>
      </c>
      <c r="E21" s="14" t="s">
        <v>30</v>
      </c>
      <c r="F21" s="14" t="s">
        <v>31</v>
      </c>
    </row>
    <row r="22" customFormat="false" ht="19.5" hidden="false" customHeight="true" outlineLevel="0" collapsed="false">
      <c r="A22" s="15" t="n">
        <f aca="false">IF('Appeal Performance'!E7=0,"-",'Appeal Performance'!E7/'Appeal Performance'!D7)</f>
        <v>0.107849485574502</v>
      </c>
      <c r="B22" s="15" t="n">
        <f aca="false">IF('Appeal Performance'!E7=0,"-",'Appeal Performance'!D7/'Appeal Performance'!E7)</f>
        <v>9.27218145430287</v>
      </c>
      <c r="C22" s="15" t="n">
        <f aca="false">COUNTA('Donor Retention'!A10:A209)</f>
        <v>10</v>
      </c>
      <c r="D22" s="15" t="n">
        <f aca="false">SUMIF('Donor Pyramid'!A9:A19,"Major Donor",'Donor Pyramid'!E9:E19)</f>
        <v>0</v>
      </c>
      <c r="E22" s="15" t="str">
        <f aca="false">IF(A14=0,"-",D22/A14)</f>
        <v>-</v>
      </c>
      <c r="F22" s="15" t="n">
        <f aca="false">IF(A18=0,"-",COUNTIF('Donor Retention'!E10:E209,"Upgraded")/A18)</f>
        <v>0.2</v>
      </c>
    </row>
    <row r="23" customFormat="false" ht="7.5" hidden="false" customHeight="true" outlineLevel="0" collapsed="false"/>
    <row r="24" customFormat="false" ht="18" hidden="false" customHeight="true" outlineLevel="0" collapsed="false">
      <c r="A24" s="16" t="s">
        <v>32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customFormat="false" ht="15.75" hidden="false" customHeight="true" outlineLevel="0" collapsed="false">
      <c r="A25" s="17" t="s">
        <v>33</v>
      </c>
      <c r="B25" s="17" t="s">
        <v>34</v>
      </c>
      <c r="C25" s="17" t="s">
        <v>35</v>
      </c>
      <c r="D25" s="17" t="s">
        <v>36</v>
      </c>
    </row>
    <row r="26" customFormat="false" ht="15" hidden="false" customHeight="true" outlineLevel="0" collapsed="false">
      <c r="A26" s="18" t="s">
        <v>37</v>
      </c>
      <c r="B26" s="19" t="s">
        <v>38</v>
      </c>
      <c r="C26" s="19" t="str">
        <f aca="false">IF(E18="-","—",TEXT(E18,"0.0%"))</f>
        <v>75.0%</v>
      </c>
      <c r="D26" s="19" t="str">
        <f aca="false">IF(E18="-","—",IF(E18&gt;=0.5,"✅ At/Above Avg",IF(E18&gt;=0.4,"⚠️ Near Avg","❌ Below Avg")))</f>
        <v>✅ At/Above Avg</v>
      </c>
    </row>
    <row r="27" customFormat="false" ht="15" hidden="false" customHeight="true" outlineLevel="0" collapsed="false">
      <c r="A27" s="20" t="s">
        <v>39</v>
      </c>
      <c r="B27" s="21" t="s">
        <v>40</v>
      </c>
      <c r="C27" s="21" t="s">
        <v>41</v>
      </c>
      <c r="D27" s="21"/>
    </row>
    <row r="28" customFormat="false" ht="15" hidden="false" customHeight="true" outlineLevel="0" collapsed="false">
      <c r="A28" s="18" t="s">
        <v>42</v>
      </c>
      <c r="B28" s="19" t="s">
        <v>43</v>
      </c>
      <c r="C28" s="19" t="str">
        <f aca="false">IF(F18="-","—",TEXT(F18,"$#,##0"))</f>
        <v>$0</v>
      </c>
      <c r="D28" s="19"/>
    </row>
    <row r="29" customFormat="false" ht="15" hidden="false" customHeight="true" outlineLevel="0" collapsed="false">
      <c r="A29" s="20" t="s">
        <v>26</v>
      </c>
      <c r="B29" s="21" t="s">
        <v>44</v>
      </c>
      <c r="C29" s="21" t="str">
        <f aca="false">IF(A22="-","—",TEXT(A22,"$0.00"))</f>
        <v>$0.11</v>
      </c>
      <c r="D29" s="21" t="str">
        <f aca="false">IF(A22="-","—",IF(A22&lt;=0.2,"✅ Efficient",IF(A22&lt;=0.3,"⚠️ Monitor","❌ High Cost")))</f>
        <v>✅ Efficient</v>
      </c>
    </row>
    <row r="30" customFormat="false" ht="15" hidden="false" customHeight="true" outlineLevel="0" collapsed="false">
      <c r="A30" s="18" t="s">
        <v>30</v>
      </c>
      <c r="B30" s="19" t="s">
        <v>45</v>
      </c>
      <c r="C30" s="19" t="str">
        <f aca="false">IF(E22="-","—",TEXT(E22,"0.0%"))</f>
        <v>—</v>
      </c>
      <c r="D30" s="19" t="str">
        <f aca="false">IF(E22="-","—",IF(E22&gt;=0.6,"✅ Healthy",IF(E22&gt;=0.4,"⚠️ Growing","❌ Low")))</f>
        <v>—</v>
      </c>
    </row>
    <row r="31" customFormat="false" ht="15" hidden="false" customHeight="true" outlineLevel="0" collapsed="false">
      <c r="A31" s="20" t="s">
        <v>46</v>
      </c>
      <c r="B31" s="21" t="s">
        <v>47</v>
      </c>
      <c r="C31" s="21" t="s">
        <v>48</v>
      </c>
      <c r="D31" s="21"/>
    </row>
  </sheetData>
  <mergeCells count="18">
    <mergeCell ref="A1:L1"/>
    <mergeCell ref="A2:L2"/>
    <mergeCell ref="A3:L3"/>
    <mergeCell ref="A5:L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2:L12"/>
    <mergeCell ref="A16:L16"/>
    <mergeCell ref="A20:L20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27.75" hidden="false" customHeight="true" outlineLevel="0" collapsed="false">
      <c r="A1" s="22" t="s">
        <v>49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21.7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51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7.5" hidden="false" customHeight="true" outlineLevel="0" collapsed="false"/>
    <row r="5" customFormat="false" ht="18" hidden="false" customHeight="true" outlineLevel="0" collapsed="false">
      <c r="A5" s="4" t="s">
        <v>52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.75" hidden="false" customHeight="true" outlineLevel="0" collapsed="false">
      <c r="A6" s="23" t="s">
        <v>53</v>
      </c>
      <c r="B6" s="23" t="s">
        <v>54</v>
      </c>
      <c r="C6" s="23" t="s">
        <v>55</v>
      </c>
      <c r="D6" s="23" t="s">
        <v>56</v>
      </c>
      <c r="E6" s="23" t="s">
        <v>57</v>
      </c>
      <c r="F6" s="23" t="s">
        <v>58</v>
      </c>
      <c r="G6" s="23" t="s">
        <v>23</v>
      </c>
      <c r="H6" s="23" t="s">
        <v>59</v>
      </c>
    </row>
    <row r="7" customFormat="false" ht="19.5" hidden="false" customHeight="true" outlineLevel="0" collapsed="false">
      <c r="A7" s="24"/>
      <c r="B7" s="24" t="n">
        <f aca="false">SUM('Monthly Progress'!C18:C29)</f>
        <v>0</v>
      </c>
      <c r="C7" s="24" t="n">
        <f aca="false">B7-A7</f>
        <v>0</v>
      </c>
      <c r="D7" s="24" t="str">
        <f aca="false">IF(A7=0,"-",B7/A7-1)</f>
        <v>-</v>
      </c>
      <c r="E7" s="24"/>
      <c r="F7" s="24" t="n">
        <f aca="false">COUNTA(A10:A209)</f>
        <v>10</v>
      </c>
      <c r="G7" s="24" t="str">
        <f aca="false">IF(E7=0,"-",COUNTIF(E10:E209,"Renewed")/E7)</f>
        <v>-</v>
      </c>
      <c r="H7" s="24" t="str">
        <f aca="false">IF(E7=0,"-",COUNTIF(E10:E209,"Lapsed")/E7)</f>
        <v>-</v>
      </c>
    </row>
    <row r="8" customFormat="false" ht="7.5" hidden="false" customHeight="true" outlineLevel="0" collapsed="false"/>
    <row r="9" customFormat="false" ht="15.75" hidden="false" customHeight="true" outlineLevel="0" collapsed="false">
      <c r="A9" s="11" t="s">
        <v>60</v>
      </c>
      <c r="B9" s="11" t="s">
        <v>61</v>
      </c>
      <c r="C9" s="11" t="s">
        <v>62</v>
      </c>
      <c r="D9" s="11" t="s">
        <v>63</v>
      </c>
      <c r="E9" s="11" t="s">
        <v>36</v>
      </c>
      <c r="F9" s="11" t="s">
        <v>64</v>
      </c>
      <c r="G9" s="11" t="s">
        <v>65</v>
      </c>
      <c r="H9" s="11" t="s">
        <v>66</v>
      </c>
      <c r="I9" s="11" t="s">
        <v>67</v>
      </c>
      <c r="J9" s="11" t="s">
        <v>68</v>
      </c>
    </row>
    <row r="10" customFormat="false" ht="15" hidden="false" customHeight="true" outlineLevel="0" collapsed="false">
      <c r="A10" s="18" t="s">
        <v>69</v>
      </c>
      <c r="B10" s="19" t="s">
        <v>70</v>
      </c>
      <c r="C10" s="25" t="n">
        <v>500</v>
      </c>
      <c r="D10" s="25" t="n">
        <v>500</v>
      </c>
      <c r="E10" s="26" t="s">
        <v>71</v>
      </c>
      <c r="F10" s="19" t="n">
        <v>5</v>
      </c>
      <c r="G10" s="19" t="n">
        <v>2020</v>
      </c>
      <c r="H10" s="25" t="n">
        <v>2500</v>
      </c>
      <c r="I10" s="27" t="s">
        <v>72</v>
      </c>
      <c r="J10" s="27" t="s">
        <v>73</v>
      </c>
    </row>
    <row r="11" customFormat="false" ht="15" hidden="false" customHeight="true" outlineLevel="0" collapsed="false">
      <c r="A11" s="20" t="s">
        <v>74</v>
      </c>
      <c r="B11" s="21" t="s">
        <v>75</v>
      </c>
      <c r="C11" s="28" t="n">
        <v>1000</v>
      </c>
      <c r="D11" s="28" t="n">
        <v>1500</v>
      </c>
      <c r="E11" s="26" t="s">
        <v>76</v>
      </c>
      <c r="F11" s="21" t="n">
        <v>3</v>
      </c>
      <c r="G11" s="21" t="n">
        <v>2022</v>
      </c>
      <c r="H11" s="28" t="n">
        <v>3500</v>
      </c>
      <c r="I11" s="29" t="s">
        <v>72</v>
      </c>
      <c r="J11" s="29" t="s">
        <v>77</v>
      </c>
    </row>
    <row r="12" customFormat="false" ht="15" hidden="false" customHeight="true" outlineLevel="0" collapsed="false">
      <c r="A12" s="18" t="s">
        <v>78</v>
      </c>
      <c r="B12" s="19" t="s">
        <v>79</v>
      </c>
      <c r="C12" s="25" t="n">
        <v>250</v>
      </c>
      <c r="D12" s="25"/>
      <c r="E12" s="30" t="s">
        <v>80</v>
      </c>
      <c r="F12" s="19" t="n">
        <v>2</v>
      </c>
      <c r="G12" s="19" t="n">
        <v>2023</v>
      </c>
      <c r="H12" s="25" t="n">
        <v>500</v>
      </c>
      <c r="I12" s="27" t="s">
        <v>81</v>
      </c>
      <c r="J12" s="27" t="s">
        <v>82</v>
      </c>
    </row>
    <row r="13" customFormat="false" ht="15" hidden="false" customHeight="true" outlineLevel="0" collapsed="false">
      <c r="A13" s="20" t="s">
        <v>83</v>
      </c>
      <c r="B13" s="21" t="s">
        <v>84</v>
      </c>
      <c r="C13" s="28"/>
      <c r="D13" s="28" t="n">
        <v>100</v>
      </c>
      <c r="E13" s="31" t="s">
        <v>85</v>
      </c>
      <c r="F13" s="21" t="n">
        <v>1</v>
      </c>
      <c r="G13" s="21" t="n">
        <v>2026</v>
      </c>
      <c r="H13" s="28" t="n">
        <v>100</v>
      </c>
      <c r="I13" s="29" t="s">
        <v>81</v>
      </c>
      <c r="J13" s="29" t="s">
        <v>86</v>
      </c>
    </row>
    <row r="14" customFormat="false" ht="15" hidden="false" customHeight="true" outlineLevel="0" collapsed="false">
      <c r="A14" s="18" t="s">
        <v>87</v>
      </c>
      <c r="B14" s="19" t="s">
        <v>88</v>
      </c>
      <c r="C14" s="25" t="n">
        <v>5000</v>
      </c>
      <c r="D14" s="25" t="n">
        <v>5000</v>
      </c>
      <c r="E14" s="26" t="s">
        <v>71</v>
      </c>
      <c r="F14" s="19" t="n">
        <v>7</v>
      </c>
      <c r="G14" s="19" t="n">
        <v>2018</v>
      </c>
      <c r="H14" s="25" t="n">
        <v>35000</v>
      </c>
      <c r="I14" s="27" t="s">
        <v>89</v>
      </c>
      <c r="J14" s="27" t="s">
        <v>90</v>
      </c>
    </row>
    <row r="15" customFormat="false" ht="15" hidden="false" customHeight="true" outlineLevel="0" collapsed="false">
      <c r="A15" s="20" t="s">
        <v>91</v>
      </c>
      <c r="B15" s="21" t="s">
        <v>92</v>
      </c>
      <c r="C15" s="28" t="n">
        <v>150</v>
      </c>
      <c r="D15" s="28"/>
      <c r="E15" s="32" t="s">
        <v>93</v>
      </c>
      <c r="F15" s="21" t="n">
        <v>1</v>
      </c>
      <c r="G15" s="21" t="n">
        <v>2025</v>
      </c>
      <c r="H15" s="28" t="n">
        <v>150</v>
      </c>
      <c r="I15" s="29" t="s">
        <v>81</v>
      </c>
      <c r="J15" s="29" t="s">
        <v>94</v>
      </c>
    </row>
    <row r="16" customFormat="false" ht="15" hidden="false" customHeight="true" outlineLevel="0" collapsed="false">
      <c r="A16" s="18" t="s">
        <v>95</v>
      </c>
      <c r="B16" s="19" t="s">
        <v>96</v>
      </c>
      <c r="C16" s="25" t="n">
        <v>75</v>
      </c>
      <c r="D16" s="25"/>
      <c r="E16" s="30" t="s">
        <v>97</v>
      </c>
      <c r="F16" s="19" t="n">
        <v>0</v>
      </c>
      <c r="G16" s="19" t="n">
        <v>2023</v>
      </c>
      <c r="H16" s="25" t="n">
        <v>225</v>
      </c>
      <c r="I16" s="27" t="s">
        <v>81</v>
      </c>
      <c r="J16" s="27" t="s">
        <v>98</v>
      </c>
    </row>
    <row r="17" customFormat="false" ht="15" hidden="false" customHeight="true" outlineLevel="0" collapsed="false">
      <c r="A17" s="20" t="s">
        <v>99</v>
      </c>
      <c r="B17" s="21" t="s">
        <v>100</v>
      </c>
      <c r="C17" s="28" t="n">
        <v>2500</v>
      </c>
      <c r="D17" s="28" t="n">
        <v>3000</v>
      </c>
      <c r="E17" s="26" t="s">
        <v>76</v>
      </c>
      <c r="F17" s="21" t="n">
        <v>4</v>
      </c>
      <c r="G17" s="21" t="n">
        <v>2022</v>
      </c>
      <c r="H17" s="28" t="n">
        <v>10000</v>
      </c>
      <c r="I17" s="29" t="s">
        <v>72</v>
      </c>
      <c r="J17" s="29" t="s">
        <v>101</v>
      </c>
    </row>
    <row r="18" customFormat="false" ht="15" hidden="false" customHeight="true" outlineLevel="0" collapsed="false">
      <c r="A18" s="18" t="s">
        <v>102</v>
      </c>
      <c r="B18" s="19" t="s">
        <v>103</v>
      </c>
      <c r="C18" s="25" t="n">
        <v>10000</v>
      </c>
      <c r="D18" s="25" t="n">
        <v>10000</v>
      </c>
      <c r="E18" s="26" t="s">
        <v>71</v>
      </c>
      <c r="F18" s="19" t="n">
        <v>10</v>
      </c>
      <c r="G18" s="19" t="n">
        <v>2016</v>
      </c>
      <c r="H18" s="25" t="n">
        <v>100000</v>
      </c>
      <c r="I18" s="27" t="s">
        <v>89</v>
      </c>
      <c r="J18" s="27" t="s">
        <v>104</v>
      </c>
    </row>
    <row r="19" customFormat="false" ht="15" hidden="false" customHeight="true" outlineLevel="0" collapsed="false">
      <c r="A19" s="20" t="s">
        <v>105</v>
      </c>
      <c r="B19" s="21" t="s">
        <v>106</v>
      </c>
      <c r="C19" s="28"/>
      <c r="D19" s="28" t="n">
        <v>250</v>
      </c>
      <c r="E19" s="31" t="s">
        <v>107</v>
      </c>
      <c r="F19" s="21" t="n">
        <v>1</v>
      </c>
      <c r="G19" s="21" t="n">
        <v>2023</v>
      </c>
      <c r="H19" s="28" t="n">
        <v>500</v>
      </c>
      <c r="I19" s="29" t="s">
        <v>81</v>
      </c>
      <c r="J19" s="29" t="s">
        <v>108</v>
      </c>
    </row>
    <row r="20" customFormat="false" ht="15" hidden="false" customHeight="tru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customFormat="false" ht="15" hidden="false" customHeight="tru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customFormat="false" ht="15" hidden="false" customHeight="tru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customFormat="false" ht="1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customFormat="false" ht="15" hidden="false" customHeight="tru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customFormat="false" ht="15" hidden="false" customHeight="tru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customFormat="false" ht="15" hidden="false" customHeight="tru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customFormat="false" ht="15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customFormat="false" ht="15" hidden="false" customHeight="tru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customFormat="false" ht="15" hidden="false" customHeight="tru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3"/>
    </row>
    <row r="30" customFormat="false" ht="15" hidden="false" customHeight="tru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 customFormat="false" ht="15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customFormat="false" ht="15" hidden="false" customHeight="tru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 customFormat="false" ht="15" hidden="false" customHeight="tru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 customFormat="false" ht="15" hidden="false" customHeight="tru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 customFormat="false" ht="15" hidden="false" customHeight="tru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 customFormat="false" ht="15" hidden="false" customHeight="tru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3"/>
    </row>
    <row r="37" customFormat="false" ht="15" hidden="false" customHeight="tru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 customFormat="false" ht="15" hidden="false" customHeight="tru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 customFormat="false" ht="15" hidden="false" customHeight="tru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 customFormat="false" ht="15" hidden="false" customHeight="tru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 customFormat="false" ht="15" hidden="false" customHeight="tru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 customFormat="false" ht="15" hidden="false" customHeight="tru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 customFormat="false" ht="15" hidden="false" customHeight="tru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 customFormat="false" ht="15" hidden="false" customHeight="tru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 customFormat="false" ht="15" hidden="false" customHeight="tru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 customFormat="false" ht="15" hidden="false" customHeight="tru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 customFormat="false" ht="15" hidden="false" customHeight="tru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 customFormat="false" ht="15" hidden="false" customHeight="tru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 customFormat="false" ht="15" hidden="false" customHeight="tru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3"/>
    </row>
  </sheetData>
  <mergeCells count="4">
    <mergeCell ref="A1:J1"/>
    <mergeCell ref="A2:J2"/>
    <mergeCell ref="A3:J3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34" t="s">
        <v>109</v>
      </c>
      <c r="B1" s="34"/>
      <c r="C1" s="34"/>
      <c r="D1" s="34"/>
      <c r="E1" s="34"/>
      <c r="F1" s="34"/>
      <c r="G1" s="34"/>
      <c r="H1" s="34"/>
      <c r="I1" s="34"/>
    </row>
    <row r="2" customFormat="false" ht="21.75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111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8" hidden="false" customHeight="true" outlineLevel="0" collapsed="false">
      <c r="A5" s="7" t="s">
        <v>112</v>
      </c>
      <c r="B5" s="7"/>
      <c r="C5" s="7"/>
      <c r="D5" s="7"/>
      <c r="E5" s="7"/>
      <c r="F5" s="7"/>
      <c r="G5" s="7"/>
      <c r="H5" s="7"/>
      <c r="I5" s="7"/>
    </row>
    <row r="6" customFormat="false" ht="15.75" hidden="false" customHeight="true" outlineLevel="0" collapsed="false">
      <c r="A6" s="8" t="s">
        <v>113</v>
      </c>
      <c r="B6" s="8" t="s">
        <v>114</v>
      </c>
      <c r="C6" s="8" t="s">
        <v>115</v>
      </c>
      <c r="D6" s="8" t="s">
        <v>116</v>
      </c>
      <c r="E6" s="8" t="s">
        <v>117</v>
      </c>
      <c r="F6" s="8" t="s">
        <v>118</v>
      </c>
    </row>
    <row r="7" customFormat="false" ht="19.5" hidden="false" customHeight="true" outlineLevel="0" collapsed="false">
      <c r="A7" s="9" t="n">
        <f aca="false">SUM(C9:C30)</f>
        <v>1136000</v>
      </c>
      <c r="B7" s="9" t="n">
        <f aca="false">SUM(D9:D30)</f>
        <v>0</v>
      </c>
      <c r="C7" s="9" t="n">
        <f aca="false">A7-B7</f>
        <v>1136000</v>
      </c>
      <c r="D7" s="9" t="n">
        <f aca="false">IF(A7=0,"-",B7/A7)</f>
        <v>0</v>
      </c>
      <c r="E7" s="9" t="n">
        <f aca="false">COUNTIF(D9:D30,"&gt;"&amp;0)</f>
        <v>0</v>
      </c>
      <c r="F7" s="9" t="str">
        <f aca="false">IF(E7=0,"-",IF(E7&gt;=5,"✅ Diversified",IF(E7&gt;=3,"⚠️ Moderate","❌ Concentrated")))</f>
        <v>-</v>
      </c>
    </row>
    <row r="8" customFormat="false" ht="15.75" hidden="false" customHeight="true" outlineLevel="0" collapsed="false">
      <c r="A8" s="8" t="s">
        <v>119</v>
      </c>
      <c r="B8" s="8" t="s">
        <v>120</v>
      </c>
      <c r="C8" s="8" t="s">
        <v>121</v>
      </c>
      <c r="D8" s="8" t="s">
        <v>122</v>
      </c>
      <c r="E8" s="8" t="s">
        <v>115</v>
      </c>
      <c r="F8" s="8" t="s">
        <v>123</v>
      </c>
      <c r="G8" s="8" t="s">
        <v>124</v>
      </c>
      <c r="H8" s="8" t="s">
        <v>125</v>
      </c>
      <c r="I8" s="8" t="s">
        <v>68</v>
      </c>
    </row>
    <row r="9" customFormat="false" ht="15" hidden="false" customHeight="true" outlineLevel="0" collapsed="false">
      <c r="A9" s="35" t="s">
        <v>126</v>
      </c>
      <c r="B9" s="36" t="s">
        <v>127</v>
      </c>
      <c r="C9" s="37" t="n">
        <v>150000</v>
      </c>
      <c r="D9" s="38"/>
      <c r="E9" s="37" t="n">
        <f aca="false">C9-D9</f>
        <v>150000</v>
      </c>
      <c r="F9" s="39" t="str">
        <f aca="false">IF(SUM(D9:D30)=0,"-",D9/SUM(D9:D30))</f>
        <v>-</v>
      </c>
      <c r="G9" s="37" t="n">
        <v>125000</v>
      </c>
      <c r="H9" s="39" t="n">
        <f aca="false">IF(G9=0,"-",D9/G9-1)</f>
        <v>-1</v>
      </c>
      <c r="I9" s="36"/>
    </row>
    <row r="10" customFormat="false" ht="15" hidden="false" customHeight="true" outlineLevel="0" collapsed="false">
      <c r="A10" s="35" t="s">
        <v>128</v>
      </c>
      <c r="B10" s="36" t="s">
        <v>127</v>
      </c>
      <c r="C10" s="37" t="n">
        <v>75000</v>
      </c>
      <c r="D10" s="38"/>
      <c r="E10" s="37" t="n">
        <f aca="false">C10-D10</f>
        <v>75000</v>
      </c>
      <c r="F10" s="39" t="str">
        <f aca="false">IF(SUM(D9:D30)=0,"-",D10/SUM(D9:D30))</f>
        <v>-</v>
      </c>
      <c r="G10" s="37" t="n">
        <v>68000</v>
      </c>
      <c r="H10" s="39" t="n">
        <f aca="false">IF(G10=0,"-",D10/G10-1)</f>
        <v>-1</v>
      </c>
      <c r="I10" s="36"/>
    </row>
    <row r="11" customFormat="false" ht="15" hidden="false" customHeight="true" outlineLevel="0" collapsed="false">
      <c r="A11" s="35" t="s">
        <v>129</v>
      </c>
      <c r="B11" s="36" t="s">
        <v>127</v>
      </c>
      <c r="C11" s="37" t="n">
        <v>40000</v>
      </c>
      <c r="D11" s="38"/>
      <c r="E11" s="37" t="n">
        <f aca="false">C11-D11</f>
        <v>40000</v>
      </c>
      <c r="F11" s="39" t="str">
        <f aca="false">IF(SUM(D9:D30)=0,"-",D11/SUM(D9:D30))</f>
        <v>-</v>
      </c>
      <c r="G11" s="37" t="n">
        <v>38000</v>
      </c>
      <c r="H11" s="39" t="n">
        <f aca="false">IF(G11=0,"-",D11/G11-1)</f>
        <v>-1</v>
      </c>
      <c r="I11" s="36"/>
    </row>
    <row r="12" customFormat="false" ht="15" hidden="false" customHeight="true" outlineLevel="0" collapsed="false">
      <c r="A12" s="35" t="s">
        <v>130</v>
      </c>
      <c r="B12" s="36" t="s">
        <v>127</v>
      </c>
      <c r="C12" s="37" t="n">
        <v>20000</v>
      </c>
      <c r="D12" s="38"/>
      <c r="E12" s="37" t="n">
        <f aca="false">C12-D12</f>
        <v>20000</v>
      </c>
      <c r="F12" s="39" t="str">
        <f aca="false">IF(SUM(D9:D30)=0,"-",D12/SUM(D9:D30))</f>
        <v>-</v>
      </c>
      <c r="G12" s="37" t="n">
        <v>0</v>
      </c>
      <c r="H12" s="39" t="str">
        <f aca="false">IF(G12=0,"-",D12/G12-1)</f>
        <v>-</v>
      </c>
      <c r="I12" s="36"/>
    </row>
    <row r="13" customFormat="false" ht="15" hidden="false" customHeight="true" outlineLevel="0" collapsed="false">
      <c r="A13" s="40" t="s">
        <v>131</v>
      </c>
      <c r="B13" s="41" t="s">
        <v>132</v>
      </c>
      <c r="C13" s="42" t="n">
        <v>35000</v>
      </c>
      <c r="D13" s="38"/>
      <c r="E13" s="42" t="n">
        <f aca="false">C13-D13</f>
        <v>35000</v>
      </c>
      <c r="F13" s="43" t="str">
        <f aca="false">IF(SUM(D9:D30)=0,"-",D13/SUM(D9:D30))</f>
        <v>-</v>
      </c>
      <c r="G13" s="42" t="n">
        <v>30000</v>
      </c>
      <c r="H13" s="43" t="n">
        <f aca="false">IF(G13=0,"-",D13/G13-1)</f>
        <v>-1</v>
      </c>
      <c r="I13" s="41"/>
    </row>
    <row r="14" customFormat="false" ht="15" hidden="false" customHeight="true" outlineLevel="0" collapsed="false">
      <c r="A14" s="40" t="s">
        <v>133</v>
      </c>
      <c r="B14" s="41" t="s">
        <v>132</v>
      </c>
      <c r="C14" s="42" t="n">
        <v>10000</v>
      </c>
      <c r="D14" s="38"/>
      <c r="E14" s="42" t="n">
        <f aca="false">C14-D14</f>
        <v>10000</v>
      </c>
      <c r="F14" s="43" t="str">
        <f aca="false">IF(SUM(D9:D30)=0,"-",D14/SUM(D9:D30))</f>
        <v>-</v>
      </c>
      <c r="G14" s="42" t="n">
        <v>8000</v>
      </c>
      <c r="H14" s="43" t="n">
        <f aca="false">IF(G14=0,"-",D14/G14-1)</f>
        <v>-1</v>
      </c>
      <c r="I14" s="41"/>
    </row>
    <row r="15" customFormat="false" ht="15" hidden="false" customHeight="true" outlineLevel="0" collapsed="false">
      <c r="A15" s="44" t="s">
        <v>134</v>
      </c>
      <c r="B15" s="26" t="s">
        <v>135</v>
      </c>
      <c r="C15" s="45" t="n">
        <v>60000</v>
      </c>
      <c r="D15" s="38"/>
      <c r="E15" s="45" t="n">
        <f aca="false">C15-D15</f>
        <v>60000</v>
      </c>
      <c r="F15" s="46" t="str">
        <f aca="false">IF(SUM(D9:D30)=0,"-",D15/SUM(D9:D30))</f>
        <v>-</v>
      </c>
      <c r="G15" s="45" t="n">
        <v>55000</v>
      </c>
      <c r="H15" s="46" t="n">
        <f aca="false">IF(G15=0,"-",D15/G15-1)</f>
        <v>-1</v>
      </c>
      <c r="I15" s="26"/>
    </row>
    <row r="16" customFormat="false" ht="15" hidden="false" customHeight="true" outlineLevel="0" collapsed="false">
      <c r="A16" s="44" t="s">
        <v>136</v>
      </c>
      <c r="B16" s="26" t="s">
        <v>135</v>
      </c>
      <c r="C16" s="45" t="n">
        <v>30000</v>
      </c>
      <c r="D16" s="38"/>
      <c r="E16" s="45" t="n">
        <f aca="false">C16-D16</f>
        <v>30000</v>
      </c>
      <c r="F16" s="46" t="str">
        <f aca="false">IF(SUM(D9:D30)=0,"-",D16/SUM(D9:D30))</f>
        <v>-</v>
      </c>
      <c r="G16" s="45" t="n">
        <v>28000</v>
      </c>
      <c r="H16" s="46" t="n">
        <f aca="false">IF(G16=0,"-",D16/G16-1)</f>
        <v>-1</v>
      </c>
      <c r="I16" s="26"/>
    </row>
    <row r="17" customFormat="false" ht="15" hidden="false" customHeight="true" outlineLevel="0" collapsed="false">
      <c r="A17" s="47" t="s">
        <v>137</v>
      </c>
      <c r="B17" s="32" t="s">
        <v>138</v>
      </c>
      <c r="C17" s="48" t="n">
        <v>45000</v>
      </c>
      <c r="D17" s="38"/>
      <c r="E17" s="48" t="n">
        <f aca="false">C17-D17</f>
        <v>45000</v>
      </c>
      <c r="F17" s="49" t="str">
        <f aca="false">IF(SUM(D9:D30)=0,"-",D17/SUM(D9:D30))</f>
        <v>-</v>
      </c>
      <c r="G17" s="48" t="n">
        <v>40000</v>
      </c>
      <c r="H17" s="49" t="n">
        <f aca="false">IF(G17=0,"-",D17/G17-1)</f>
        <v>-1</v>
      </c>
      <c r="I17" s="32"/>
    </row>
    <row r="18" customFormat="false" ht="15" hidden="false" customHeight="true" outlineLevel="0" collapsed="false">
      <c r="A18" s="47" t="s">
        <v>139</v>
      </c>
      <c r="B18" s="32" t="s">
        <v>138</v>
      </c>
      <c r="C18" s="48" t="n">
        <v>20000</v>
      </c>
      <c r="D18" s="38"/>
      <c r="E18" s="48" t="n">
        <f aca="false">C18-D18</f>
        <v>20000</v>
      </c>
      <c r="F18" s="49" t="str">
        <f aca="false">IF(SUM(D9:D30)=0,"-",D18/SUM(D9:D30))</f>
        <v>-</v>
      </c>
      <c r="G18" s="48" t="n">
        <v>18000</v>
      </c>
      <c r="H18" s="49" t="n">
        <f aca="false">IF(G18=0,"-",D18/G18-1)</f>
        <v>-1</v>
      </c>
      <c r="I18" s="32"/>
    </row>
    <row r="19" customFormat="false" ht="15" hidden="false" customHeight="true" outlineLevel="0" collapsed="false">
      <c r="A19" s="47" t="s">
        <v>140</v>
      </c>
      <c r="B19" s="32" t="s">
        <v>138</v>
      </c>
      <c r="C19" s="48" t="n">
        <v>10000</v>
      </c>
      <c r="D19" s="38"/>
      <c r="E19" s="48" t="n">
        <f aca="false">C19-D19</f>
        <v>10000</v>
      </c>
      <c r="F19" s="49" t="str">
        <f aca="false">IF(SUM(D9:D30)=0,"-",D19/SUM(D9:D30))</f>
        <v>-</v>
      </c>
      <c r="G19" s="48" t="n">
        <v>9000</v>
      </c>
      <c r="H19" s="49" t="n">
        <f aca="false">IF(G19=0,"-",D19/G19-1)</f>
        <v>-1</v>
      </c>
      <c r="I19" s="32"/>
    </row>
    <row r="20" customFormat="false" ht="15" hidden="false" customHeight="true" outlineLevel="0" collapsed="false">
      <c r="A20" s="50" t="s">
        <v>141</v>
      </c>
      <c r="B20" s="31" t="s">
        <v>142</v>
      </c>
      <c r="C20" s="51" t="n">
        <v>15000</v>
      </c>
      <c r="D20" s="38"/>
      <c r="E20" s="51" t="n">
        <f aca="false">C20-D20</f>
        <v>15000</v>
      </c>
      <c r="F20" s="52" t="str">
        <f aca="false">IF(SUM(D9:D30)=0,"-",D20/SUM(D9:D30))</f>
        <v>-</v>
      </c>
      <c r="G20" s="51" t="n">
        <v>10000</v>
      </c>
      <c r="H20" s="52" t="n">
        <f aca="false">IF(G20=0,"-",D20/G20-1)</f>
        <v>-1</v>
      </c>
      <c r="I20" s="31"/>
    </row>
    <row r="21" customFormat="false" ht="15" hidden="false" customHeight="true" outlineLevel="0" collapsed="false">
      <c r="A21" s="53" t="s">
        <v>143</v>
      </c>
      <c r="B21" s="54" t="s">
        <v>144</v>
      </c>
      <c r="C21" s="55" t="n">
        <v>12000</v>
      </c>
      <c r="D21" s="38"/>
      <c r="E21" s="55" t="n">
        <f aca="false">C21-D21</f>
        <v>12000</v>
      </c>
      <c r="F21" s="56" t="str">
        <f aca="false">IF(SUM(D9:D30)=0,"-",D21/SUM(D9:D30))</f>
        <v>-</v>
      </c>
      <c r="G21" s="55" t="n">
        <v>11000</v>
      </c>
      <c r="H21" s="56" t="n">
        <f aca="false">IF(G21=0,"-",D21/G21-1)</f>
        <v>-1</v>
      </c>
      <c r="I21" s="54"/>
    </row>
    <row r="22" customFormat="false" ht="15" hidden="false" customHeight="true" outlineLevel="0" collapsed="false">
      <c r="A22" s="53" t="s">
        <v>145</v>
      </c>
      <c r="B22" s="54" t="s">
        <v>144</v>
      </c>
      <c r="C22" s="55" t="n">
        <v>5000</v>
      </c>
      <c r="D22" s="38"/>
      <c r="E22" s="55" t="n">
        <f aca="false">C22-D22</f>
        <v>5000</v>
      </c>
      <c r="F22" s="56" t="str">
        <f aca="false">IF(SUM(D9:D30)=0,"-",D22/SUM(D9:D30))</f>
        <v>-</v>
      </c>
      <c r="G22" s="55" t="n">
        <v>4000</v>
      </c>
      <c r="H22" s="56" t="n">
        <f aca="false">IF(G22=0,"-",D22/G22-1)</f>
        <v>-1</v>
      </c>
      <c r="I22" s="54"/>
    </row>
    <row r="23" customFormat="false" ht="15" hidden="false" customHeight="true" outlineLevel="0" collapsed="false">
      <c r="A23" s="57" t="s">
        <v>146</v>
      </c>
      <c r="B23" s="30" t="s">
        <v>147</v>
      </c>
      <c r="C23" s="58" t="n">
        <v>8000</v>
      </c>
      <c r="D23" s="38"/>
      <c r="E23" s="58" t="n">
        <f aca="false">C23-D23</f>
        <v>8000</v>
      </c>
      <c r="F23" s="59" t="str">
        <f aca="false">IF(SUM(D9:D30)=0,"-",D23/SUM(D9:D30))</f>
        <v>-</v>
      </c>
      <c r="G23" s="58" t="n">
        <v>7500</v>
      </c>
      <c r="H23" s="59" t="n">
        <f aca="false">IF(G23=0,"-",D23/G23-1)</f>
        <v>-1</v>
      </c>
      <c r="I23" s="30"/>
    </row>
    <row r="24" customFormat="false" ht="15" hidden="false" customHeight="true" outlineLevel="0" collapsed="false">
      <c r="A24" s="60" t="s">
        <v>148</v>
      </c>
      <c r="B24" s="61" t="s">
        <v>149</v>
      </c>
      <c r="C24" s="62" t="n">
        <v>25000</v>
      </c>
      <c r="D24" s="38"/>
      <c r="E24" s="62" t="n">
        <f aca="false">C24-D24</f>
        <v>25000</v>
      </c>
      <c r="F24" s="63" t="str">
        <f aca="false">IF(SUM(D9:D30)=0,"-",D24/SUM(D9:D30))</f>
        <v>-</v>
      </c>
      <c r="G24" s="62" t="n">
        <v>22000</v>
      </c>
      <c r="H24" s="63" t="n">
        <f aca="false">IF(G24=0,"-",D24/G24-1)</f>
        <v>-1</v>
      </c>
      <c r="I24" s="61"/>
    </row>
    <row r="25" customFormat="false" ht="15" hidden="false" customHeight="true" outlineLevel="0" collapsed="false">
      <c r="A25" s="18" t="s">
        <v>150</v>
      </c>
      <c r="B25" s="27" t="s">
        <v>151</v>
      </c>
      <c r="C25" s="25" t="n">
        <v>3000</v>
      </c>
      <c r="D25" s="38"/>
      <c r="E25" s="25" t="n">
        <f aca="false">C25-D25</f>
        <v>3000</v>
      </c>
      <c r="F25" s="19" t="str">
        <f aca="false">IF(SUM(D9:D30)=0,"-",D25/SUM(D9:D30))</f>
        <v>-</v>
      </c>
      <c r="G25" s="25" t="n">
        <v>2800</v>
      </c>
      <c r="H25" s="19" t="n">
        <f aca="false">IF(G25=0,"-",D25/G25-1)</f>
        <v>-1</v>
      </c>
      <c r="I25" s="27"/>
    </row>
    <row r="26" customFormat="false" ht="15" hidden="false" customHeight="true" outlineLevel="0" collapsed="false">
      <c r="A26" s="18" t="s">
        <v>152</v>
      </c>
      <c r="B26" s="27" t="s">
        <v>151</v>
      </c>
      <c r="C26" s="25" t="n">
        <v>5000</v>
      </c>
      <c r="D26" s="38"/>
      <c r="E26" s="25" t="n">
        <f aca="false">C26-D26</f>
        <v>5000</v>
      </c>
      <c r="F26" s="19" t="str">
        <f aca="false">IF(SUM(D9:D30)=0,"-",D26/SUM(D9:D30))</f>
        <v>-</v>
      </c>
      <c r="G26" s="25" t="n">
        <v>4500</v>
      </c>
      <c r="H26" s="19" t="n">
        <f aca="false">IF(G26=0,"-",D26/G26-1)</f>
        <v>-1</v>
      </c>
      <c r="I26" s="27"/>
    </row>
    <row r="27" customFormat="false" ht="18" hidden="false" customHeight="true" outlineLevel="0" collapsed="false">
      <c r="A27" s="64" t="s">
        <v>153</v>
      </c>
      <c r="B27" s="65"/>
      <c r="C27" s="65" t="n">
        <f aca="false">SUM(C9:C26)</f>
        <v>568000</v>
      </c>
      <c r="D27" s="65" t="n">
        <f aca="false">SUM(D9:D26)</f>
        <v>0</v>
      </c>
      <c r="E27" s="65" t="n">
        <f aca="false">C27-D27</f>
        <v>568000</v>
      </c>
      <c r="F27" s="65" t="str">
        <f aca="false">IF(D27=0,"-",1)</f>
        <v>-</v>
      </c>
      <c r="G27" s="65" t="n">
        <f aca="false">SUM(G9:G26)</f>
        <v>480800</v>
      </c>
      <c r="H27" s="65" t="n">
        <f aca="false">IF(G27=0,"-",D27/G27-1)</f>
        <v>-1</v>
      </c>
      <c r="I27" s="65"/>
    </row>
  </sheetData>
  <mergeCells count="4">
    <mergeCell ref="A1:I1"/>
    <mergeCell ref="A2:I2"/>
    <mergeCell ref="A3:I3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66" t="s">
        <v>154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customFormat="false" ht="21.75" hidden="false" customHeight="true" outlineLevel="0" collapsed="false">
      <c r="A2" s="67" t="s">
        <v>155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customFormat="false" ht="15" hidden="false" customHeight="true" outlineLevel="0" collapsed="false">
      <c r="A3" s="3" t="s">
        <v>156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7.5" hidden="false" customHeight="true" outlineLevel="0" collapsed="false"/>
    <row r="5" customFormat="false" ht="18" hidden="false" customHeight="true" outlineLevel="0" collapsed="false">
      <c r="A5" s="68" t="s">
        <v>157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6" customFormat="false" ht="15.75" hidden="false" customHeight="true" outlineLevel="0" collapsed="false">
      <c r="A6" s="69" t="s">
        <v>158</v>
      </c>
      <c r="B6" s="69" t="s">
        <v>159</v>
      </c>
      <c r="C6" s="69" t="s">
        <v>160</v>
      </c>
      <c r="D6" s="69" t="s">
        <v>161</v>
      </c>
      <c r="E6" s="69" t="s">
        <v>162</v>
      </c>
      <c r="F6" s="69" t="s">
        <v>163</v>
      </c>
      <c r="G6" s="69" t="s">
        <v>164</v>
      </c>
    </row>
    <row r="7" customFormat="false" ht="19.5" hidden="false" customHeight="true" outlineLevel="0" collapsed="false">
      <c r="A7" s="70" t="n">
        <f aca="false">SUM(D9:D50)</f>
        <v>9847</v>
      </c>
      <c r="B7" s="70" t="n">
        <f aca="false">SUM(E9:E50)</f>
        <v>1103</v>
      </c>
      <c r="C7" s="70" t="n">
        <f aca="false">IF(A7=0,"-",B7/A7)</f>
        <v>0.11201381131309</v>
      </c>
      <c r="D7" s="70" t="n">
        <f aca="false">SUM(F9:F50)</f>
        <v>277980</v>
      </c>
      <c r="E7" s="70" t="n">
        <f aca="false">SUM(G9:G50)</f>
        <v>29980</v>
      </c>
      <c r="F7" s="70" t="n">
        <f aca="false">IF(E7=0,"-",D7/E7)</f>
        <v>9.27218145430287</v>
      </c>
      <c r="G7" s="70" t="n">
        <f aca="false">IF(D7=0,"-",E7/D7)</f>
        <v>0.107849485574502</v>
      </c>
    </row>
    <row r="8" customFormat="false" ht="15.75" hidden="false" customHeight="true" outlineLevel="0" collapsed="false">
      <c r="A8" s="71" t="s">
        <v>165</v>
      </c>
      <c r="B8" s="71" t="s">
        <v>166</v>
      </c>
      <c r="C8" s="71" t="s">
        <v>167</v>
      </c>
      <c r="D8" s="71" t="s">
        <v>168</v>
      </c>
      <c r="E8" s="71" t="s">
        <v>169</v>
      </c>
      <c r="F8" s="71" t="s">
        <v>170</v>
      </c>
      <c r="G8" s="71" t="s">
        <v>171</v>
      </c>
      <c r="H8" s="71" t="s">
        <v>172</v>
      </c>
      <c r="I8" s="71" t="s">
        <v>173</v>
      </c>
      <c r="J8" s="71" t="s">
        <v>174</v>
      </c>
      <c r="K8" s="71" t="s">
        <v>68</v>
      </c>
    </row>
    <row r="9" customFormat="false" ht="15" hidden="false" customHeight="true" outlineLevel="0" collapsed="false">
      <c r="A9" s="35" t="s">
        <v>175</v>
      </c>
      <c r="B9" s="36" t="s">
        <v>176</v>
      </c>
      <c r="C9" s="39" t="s">
        <v>177</v>
      </c>
      <c r="D9" s="39" t="n">
        <v>2500</v>
      </c>
      <c r="E9" s="39" t="n">
        <v>188</v>
      </c>
      <c r="F9" s="37" t="n">
        <v>28200</v>
      </c>
      <c r="G9" s="37" t="n">
        <v>3750</v>
      </c>
      <c r="H9" s="39" t="n">
        <f aca="false">IF(D9=0,"-",E9/D9)</f>
        <v>0.0752</v>
      </c>
      <c r="I9" s="37" t="n">
        <f aca="false">IF(E9=0,"-",F9/E9)</f>
        <v>150</v>
      </c>
      <c r="J9" s="37" t="n">
        <f aca="false">IF(G9=0,"-",F9/G9)</f>
        <v>7.52</v>
      </c>
      <c r="K9" s="36" t="s">
        <v>178</v>
      </c>
    </row>
    <row r="10" customFormat="false" ht="15" hidden="false" customHeight="true" outlineLevel="0" collapsed="false">
      <c r="A10" s="50" t="s">
        <v>179</v>
      </c>
      <c r="B10" s="31" t="s">
        <v>180</v>
      </c>
      <c r="C10" s="52" t="s">
        <v>181</v>
      </c>
      <c r="D10" s="52" t="n">
        <v>4800</v>
      </c>
      <c r="E10" s="52" t="n">
        <v>192</v>
      </c>
      <c r="F10" s="51" t="n">
        <v>14400</v>
      </c>
      <c r="G10" s="51" t="n">
        <v>480</v>
      </c>
      <c r="H10" s="52" t="n">
        <f aca="false">IF(D10=0,"-",E10/D10)</f>
        <v>0.04</v>
      </c>
      <c r="I10" s="51" t="n">
        <f aca="false">IF(E10=0,"-",F10/E10)</f>
        <v>75</v>
      </c>
      <c r="J10" s="51" t="n">
        <f aca="false">IF(G10=0,"-",F10/G10)</f>
        <v>30</v>
      </c>
      <c r="K10" s="31" t="s">
        <v>182</v>
      </c>
    </row>
    <row r="11" customFormat="false" ht="15" hidden="false" customHeight="true" outlineLevel="0" collapsed="false">
      <c r="A11" s="44" t="s">
        <v>183</v>
      </c>
      <c r="B11" s="26" t="s">
        <v>142</v>
      </c>
      <c r="C11" s="46" t="s">
        <v>184</v>
      </c>
      <c r="D11" s="46" t="n">
        <v>0</v>
      </c>
      <c r="E11" s="46" t="n">
        <v>142</v>
      </c>
      <c r="F11" s="45" t="n">
        <v>9940</v>
      </c>
      <c r="G11" s="45" t="n">
        <v>250</v>
      </c>
      <c r="H11" s="46" t="str">
        <f aca="false">IF(D11=0,"-",E11/D11)</f>
        <v>-</v>
      </c>
      <c r="I11" s="45" t="n">
        <f aca="false">IF(E11=0,"-",F11/E11)</f>
        <v>70</v>
      </c>
      <c r="J11" s="45" t="n">
        <f aca="false">IF(G11=0,"-",F11/G11)</f>
        <v>39.76</v>
      </c>
      <c r="K11" s="26" t="s">
        <v>185</v>
      </c>
    </row>
    <row r="12" customFormat="false" ht="15" hidden="false" customHeight="true" outlineLevel="0" collapsed="false">
      <c r="A12" s="47" t="s">
        <v>186</v>
      </c>
      <c r="B12" s="32" t="s">
        <v>187</v>
      </c>
      <c r="C12" s="49" t="s">
        <v>188</v>
      </c>
      <c r="D12" s="49" t="n">
        <v>350</v>
      </c>
      <c r="E12" s="49" t="n">
        <v>312</v>
      </c>
      <c r="F12" s="48" t="n">
        <v>45000</v>
      </c>
      <c r="G12" s="48" t="n">
        <v>12000</v>
      </c>
      <c r="H12" s="49" t="n">
        <f aca="false">IF(D12=0,"-",E12/D12)</f>
        <v>0.891428571428572</v>
      </c>
      <c r="I12" s="48" t="n">
        <f aca="false">IF(E12=0,"-",F12/E12)</f>
        <v>144.230769230769</v>
      </c>
      <c r="J12" s="48" t="n">
        <f aca="false">IF(G12=0,"-",F12/G12)</f>
        <v>3.75</v>
      </c>
      <c r="K12" s="32" t="s">
        <v>189</v>
      </c>
    </row>
    <row r="13" customFormat="false" ht="15" hidden="false" customHeight="true" outlineLevel="0" collapsed="false">
      <c r="A13" s="47" t="s">
        <v>139</v>
      </c>
      <c r="B13" s="32" t="s">
        <v>187</v>
      </c>
      <c r="C13" s="49" t="s">
        <v>190</v>
      </c>
      <c r="D13" s="49" t="n">
        <v>144</v>
      </c>
      <c r="E13" s="49" t="n">
        <v>144</v>
      </c>
      <c r="F13" s="48" t="n">
        <v>22000</v>
      </c>
      <c r="G13" s="48" t="n">
        <v>8500</v>
      </c>
      <c r="H13" s="49" t="n">
        <f aca="false">IF(D13=0,"-",E13/D13)</f>
        <v>1</v>
      </c>
      <c r="I13" s="48" t="n">
        <f aca="false">IF(E13=0,"-",F13/E13)</f>
        <v>152.777777777778</v>
      </c>
      <c r="J13" s="48" t="n">
        <f aca="false">IF(G13=0,"-",F13/G13)</f>
        <v>2.58823529411765</v>
      </c>
      <c r="K13" s="32" t="s">
        <v>191</v>
      </c>
    </row>
    <row r="14" customFormat="false" ht="15" hidden="false" customHeight="true" outlineLevel="0" collapsed="false">
      <c r="A14" s="40" t="s">
        <v>192</v>
      </c>
      <c r="B14" s="41" t="s">
        <v>193</v>
      </c>
      <c r="C14" s="43" t="s">
        <v>194</v>
      </c>
      <c r="D14" s="43" t="n">
        <v>45</v>
      </c>
      <c r="E14" s="43" t="n">
        <v>32</v>
      </c>
      <c r="F14" s="42" t="n">
        <v>85000</v>
      </c>
      <c r="G14" s="42" t="n">
        <v>2500</v>
      </c>
      <c r="H14" s="43" t="n">
        <f aca="false">IF(D14=0,"-",E14/D14)</f>
        <v>0.711111111111111</v>
      </c>
      <c r="I14" s="42" t="n">
        <f aca="false">IF(E14=0,"-",F14/E14)</f>
        <v>2656.25</v>
      </c>
      <c r="J14" s="42" t="n">
        <f aca="false">IF(G14=0,"-",F14/G14)</f>
        <v>34</v>
      </c>
      <c r="K14" s="41" t="s">
        <v>195</v>
      </c>
    </row>
    <row r="15" customFormat="false" ht="15" hidden="false" customHeight="true" outlineLevel="0" collapsed="false">
      <c r="A15" s="44" t="s">
        <v>196</v>
      </c>
      <c r="B15" s="26" t="s">
        <v>142</v>
      </c>
      <c r="C15" s="46" t="s">
        <v>197</v>
      </c>
      <c r="D15" s="46" t="n">
        <v>1200</v>
      </c>
      <c r="E15" s="46" t="n">
        <v>48</v>
      </c>
      <c r="F15" s="45" t="n">
        <v>8640</v>
      </c>
      <c r="G15" s="45" t="n">
        <v>600</v>
      </c>
      <c r="H15" s="46" t="n">
        <f aca="false">IF(D15=0,"-",E15/D15)</f>
        <v>0.04</v>
      </c>
      <c r="I15" s="45" t="n">
        <f aca="false">IF(E15=0,"-",F15/E15)</f>
        <v>180</v>
      </c>
      <c r="J15" s="45" t="n">
        <f aca="false">IF(G15=0,"-",F15/G15)</f>
        <v>14.4</v>
      </c>
      <c r="K15" s="26" t="s">
        <v>198</v>
      </c>
    </row>
    <row r="16" customFormat="false" ht="15" hidden="false" customHeight="true" outlineLevel="0" collapsed="false">
      <c r="A16" s="53" t="s">
        <v>199</v>
      </c>
      <c r="B16" s="54" t="s">
        <v>135</v>
      </c>
      <c r="C16" s="56" t="s">
        <v>200</v>
      </c>
      <c r="D16" s="56" t="n">
        <v>8</v>
      </c>
      <c r="E16" s="56" t="n">
        <v>5</v>
      </c>
      <c r="F16" s="55" t="n">
        <v>60000</v>
      </c>
      <c r="G16" s="55" t="n">
        <v>1500</v>
      </c>
      <c r="H16" s="56" t="n">
        <f aca="false">IF(D16=0,"-",E16/D16)</f>
        <v>0.625</v>
      </c>
      <c r="I16" s="55" t="n">
        <f aca="false">IF(E16=0,"-",F16/E16)</f>
        <v>12000</v>
      </c>
      <c r="J16" s="55" t="n">
        <f aca="false">IF(G16=0,"-",F16/G16)</f>
        <v>40</v>
      </c>
      <c r="K16" s="54" t="s">
        <v>201</v>
      </c>
    </row>
    <row r="17" customFormat="false" ht="15" hidden="false" customHeight="true" outlineLevel="0" collapsed="false">
      <c r="A17" s="50" t="s">
        <v>202</v>
      </c>
      <c r="B17" s="31" t="s">
        <v>180</v>
      </c>
      <c r="C17" s="52" t="s">
        <v>203</v>
      </c>
      <c r="D17" s="52" t="n">
        <v>800</v>
      </c>
      <c r="E17" s="52" t="n">
        <v>40</v>
      </c>
      <c r="F17" s="51" t="n">
        <v>4800</v>
      </c>
      <c r="G17" s="51" t="n">
        <v>400</v>
      </c>
      <c r="H17" s="52" t="n">
        <f aca="false">IF(D17=0,"-",E17/D17)</f>
        <v>0.05</v>
      </c>
      <c r="I17" s="51" t="n">
        <f aca="false">IF(E17=0,"-",F17/E17)</f>
        <v>120</v>
      </c>
      <c r="J17" s="51" t="n">
        <f aca="false">IF(G17=0,"-",F17/G17)</f>
        <v>12</v>
      </c>
      <c r="K17" s="31" t="s">
        <v>204</v>
      </c>
    </row>
    <row r="18" customFormat="false" ht="15" hidden="false" customHeight="tru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customFormat="false" ht="15" hidden="false" customHeight="tru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customFormat="false" ht="15" hidden="false" customHeight="tru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customFormat="false" ht="15" hidden="false" customHeight="tru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customFormat="false" ht="15" hidden="false" customHeight="tru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customFormat="false" ht="1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customFormat="false" ht="15" hidden="false" customHeight="tru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customFormat="false" ht="15" hidden="false" customHeight="tru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customFormat="false" ht="15" hidden="false" customHeight="tru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customFormat="false" ht="15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customFormat="false" ht="15" hidden="false" customHeight="tru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customFormat="false" ht="15" hidden="false" customHeight="tru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customFormat="false" ht="15" hidden="false" customHeight="tru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customFormat="false" ht="15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customFormat="false" ht="15" hidden="false" customHeight="tru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</sheetData>
  <mergeCells count="4">
    <mergeCell ref="A1:K1"/>
    <mergeCell ref="A2:K2"/>
    <mergeCell ref="A3:K3"/>
    <mergeCell ref="A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10" min="9" style="0" width="16"/>
  </cols>
  <sheetData>
    <row r="1" customFormat="false" ht="27.75" hidden="false" customHeight="true" outlineLevel="0" collapsed="false">
      <c r="A1" s="72" t="s">
        <v>205</v>
      </c>
      <c r="B1" s="72"/>
      <c r="C1" s="72"/>
      <c r="D1" s="72"/>
      <c r="E1" s="72"/>
      <c r="F1" s="72"/>
      <c r="G1" s="72"/>
      <c r="H1" s="72"/>
      <c r="I1" s="72"/>
      <c r="J1" s="72"/>
    </row>
    <row r="2" customFormat="false" ht="21.75" hidden="false" customHeight="true" outlineLevel="0" collapsed="false">
      <c r="A2" s="2" t="s">
        <v>206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207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7.5" hidden="false" customHeight="true" outlineLevel="0" collapsed="false"/>
    <row r="5" customFormat="false" ht="18" hidden="false" customHeight="true" outlineLevel="0" collapsed="false">
      <c r="A5" s="16" t="s">
        <v>208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8" hidden="false" customHeight="true" outlineLevel="0" collapsed="false">
      <c r="A6" s="73" t="s">
        <v>209</v>
      </c>
      <c r="B6" s="73"/>
      <c r="C6" s="73"/>
      <c r="D6" s="74"/>
      <c r="E6" s="74"/>
      <c r="F6" s="74"/>
    </row>
    <row r="7" customFormat="false" ht="18" hidden="false" customHeight="true" outlineLevel="0" collapsed="false">
      <c r="A7" s="73" t="s">
        <v>210</v>
      </c>
      <c r="B7" s="73"/>
      <c r="C7" s="73"/>
      <c r="D7" s="75" t="str">
        <f aca="false">IF(D6=0,"-",D6/12)</f>
        <v>-</v>
      </c>
      <c r="E7" s="75"/>
      <c r="F7" s="75"/>
    </row>
    <row r="8" customFormat="false" ht="18" hidden="false" customHeight="true" outlineLevel="0" collapsed="false">
      <c r="A8" s="73" t="s">
        <v>211</v>
      </c>
      <c r="B8" s="73"/>
      <c r="C8" s="73"/>
      <c r="D8" s="75" t="n">
        <f aca="false">SUM(C18:C29)</f>
        <v>0</v>
      </c>
      <c r="E8" s="75"/>
      <c r="F8" s="75"/>
    </row>
    <row r="9" customFormat="false" ht="18" hidden="false" customHeight="true" outlineLevel="0" collapsed="false">
      <c r="A9" s="73" t="s">
        <v>212</v>
      </c>
      <c r="B9" s="73"/>
      <c r="C9" s="73"/>
      <c r="D9" s="75" t="str">
        <f aca="false">IF(D6=0,"-",D6/12*COUNTA(C18:C29))</f>
        <v>-</v>
      </c>
      <c r="E9" s="75"/>
      <c r="F9" s="75"/>
    </row>
    <row r="10" customFormat="false" ht="18" hidden="false" customHeight="true" outlineLevel="0" collapsed="false">
      <c r="A10" s="73" t="s">
        <v>213</v>
      </c>
      <c r="B10" s="73"/>
      <c r="C10" s="73"/>
      <c r="D10" s="75" t="str">
        <f aca="false">IF(D6=0,"-",D8-D9)</f>
        <v>-</v>
      </c>
      <c r="E10" s="75"/>
      <c r="F10" s="75"/>
    </row>
    <row r="11" customFormat="false" ht="7.5" hidden="false" customHeight="true" outlineLevel="0" collapsed="false"/>
    <row r="12" customFormat="false" ht="18" hidden="false" customHeight="true" outlineLevel="0" collapsed="false">
      <c r="A12" s="16" t="s">
        <v>214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18" hidden="false" customHeight="true" outlineLevel="0" collapsed="false">
      <c r="A13" s="76" t="s">
        <v>215</v>
      </c>
      <c r="B13" s="76"/>
      <c r="C13" s="76"/>
      <c r="D13" s="76"/>
      <c r="E13" s="76"/>
      <c r="F13" s="76"/>
      <c r="G13" s="76"/>
      <c r="H13" s="76"/>
      <c r="I13" s="76"/>
      <c r="J13" s="76"/>
    </row>
    <row r="17" customFormat="false" ht="15.75" hidden="false" customHeight="true" outlineLevel="0" collapsed="false">
      <c r="A17" s="17" t="s">
        <v>216</v>
      </c>
      <c r="B17" s="17" t="s">
        <v>217</v>
      </c>
      <c r="C17" s="17" t="s">
        <v>114</v>
      </c>
      <c r="D17" s="17" t="s">
        <v>218</v>
      </c>
      <c r="E17" s="17" t="s">
        <v>219</v>
      </c>
      <c r="F17" s="17" t="s">
        <v>220</v>
      </c>
      <c r="G17" s="17" t="s">
        <v>221</v>
      </c>
      <c r="H17" s="17" t="s">
        <v>222</v>
      </c>
      <c r="I17" s="17" t="s">
        <v>223</v>
      </c>
      <c r="J17" s="17" t="s">
        <v>224</v>
      </c>
    </row>
    <row r="18" customFormat="false" ht="15" hidden="false" customHeight="true" outlineLevel="0" collapsed="false">
      <c r="A18" s="18" t="s">
        <v>225</v>
      </c>
      <c r="B18" s="25" t="str">
        <f aca="false">IF(D6=0,"-",D6/12)</f>
        <v>-</v>
      </c>
      <c r="C18" s="25" t="str">
        <f aca="false">IF(D18+E18+F18+G18+H18=0,"",D18+E18+F18+G18+H18)</f>
        <v/>
      </c>
      <c r="D18" s="38"/>
      <c r="E18" s="38"/>
      <c r="F18" s="38"/>
      <c r="G18" s="38"/>
      <c r="H18" s="38"/>
      <c r="I18" s="25" t="n">
        <f aca="false">SUM($C$18:C18)</f>
        <v>0</v>
      </c>
      <c r="J18" s="19" t="str">
        <f aca="false">IF(D6=0,"-",I18/D6)</f>
        <v>-</v>
      </c>
    </row>
    <row r="19" customFormat="false" ht="15" hidden="false" customHeight="true" outlineLevel="0" collapsed="false">
      <c r="A19" s="20" t="s">
        <v>226</v>
      </c>
      <c r="B19" s="28" t="str">
        <f aca="false">IF(D6=0,"-",D6/12)</f>
        <v>-</v>
      </c>
      <c r="C19" s="28" t="str">
        <f aca="false">IF(D19+E19+F19+G19+H19=0,"",D19+E19+F19+G19+H19)</f>
        <v/>
      </c>
      <c r="D19" s="38"/>
      <c r="E19" s="38"/>
      <c r="F19" s="38"/>
      <c r="G19" s="38"/>
      <c r="H19" s="38"/>
      <c r="I19" s="28" t="n">
        <f aca="false">SUM($C$18:C19)</f>
        <v>0</v>
      </c>
      <c r="J19" s="21" t="str">
        <f aca="false">IF(D6=0,"-",I19/D6)</f>
        <v>-</v>
      </c>
    </row>
    <row r="20" customFormat="false" ht="15" hidden="false" customHeight="true" outlineLevel="0" collapsed="false">
      <c r="A20" s="18" t="s">
        <v>227</v>
      </c>
      <c r="B20" s="25" t="str">
        <f aca="false">IF(D6=0,"-",D6/12)</f>
        <v>-</v>
      </c>
      <c r="C20" s="25" t="str">
        <f aca="false">IF(D20+E20+F20+G20+H20=0,"",D20+E20+F20+G20+H20)</f>
        <v/>
      </c>
      <c r="D20" s="38"/>
      <c r="E20" s="38"/>
      <c r="F20" s="38"/>
      <c r="G20" s="38"/>
      <c r="H20" s="38"/>
      <c r="I20" s="25" t="n">
        <f aca="false">SUM($C$18:C20)</f>
        <v>0</v>
      </c>
      <c r="J20" s="19" t="str">
        <f aca="false">IF(D6=0,"-",I20/D6)</f>
        <v>-</v>
      </c>
    </row>
    <row r="21" customFormat="false" ht="15" hidden="false" customHeight="true" outlineLevel="0" collapsed="false">
      <c r="A21" s="20" t="s">
        <v>228</v>
      </c>
      <c r="B21" s="28" t="str">
        <f aca="false">IF(D6=0,"-",D6/12)</f>
        <v>-</v>
      </c>
      <c r="C21" s="28" t="str">
        <f aca="false">IF(D21+E21+F21+G21+H21=0,"",D21+E21+F21+G21+H21)</f>
        <v/>
      </c>
      <c r="D21" s="38"/>
      <c r="E21" s="38"/>
      <c r="F21" s="38"/>
      <c r="G21" s="38"/>
      <c r="H21" s="38"/>
      <c r="I21" s="28" t="n">
        <f aca="false">SUM($C$18:C21)</f>
        <v>0</v>
      </c>
      <c r="J21" s="21" t="str">
        <f aca="false">IF(D6=0,"-",I21/D6)</f>
        <v>-</v>
      </c>
    </row>
    <row r="22" customFormat="false" ht="15" hidden="false" customHeight="true" outlineLevel="0" collapsed="false">
      <c r="A22" s="18" t="s">
        <v>229</v>
      </c>
      <c r="B22" s="25" t="str">
        <f aca="false">IF(D6=0,"-",D6/12)</f>
        <v>-</v>
      </c>
      <c r="C22" s="25" t="str">
        <f aca="false">IF(D22+E22+F22+G22+H22=0,"",D22+E22+F22+G22+H22)</f>
        <v/>
      </c>
      <c r="D22" s="38"/>
      <c r="E22" s="38"/>
      <c r="F22" s="38"/>
      <c r="G22" s="38"/>
      <c r="H22" s="38"/>
      <c r="I22" s="25" t="n">
        <f aca="false">SUM($C$18:C22)</f>
        <v>0</v>
      </c>
      <c r="J22" s="19" t="str">
        <f aca="false">IF(D6=0,"-",I22/D6)</f>
        <v>-</v>
      </c>
    </row>
    <row r="23" customFormat="false" ht="15" hidden="false" customHeight="true" outlineLevel="0" collapsed="false">
      <c r="A23" s="20" t="s">
        <v>230</v>
      </c>
      <c r="B23" s="28" t="str">
        <f aca="false">IF(D6=0,"-",D6/12)</f>
        <v>-</v>
      </c>
      <c r="C23" s="28" t="str">
        <f aca="false">IF(D23+E23+F23+G23+H23=0,"",D23+E23+F23+G23+H23)</f>
        <v/>
      </c>
      <c r="D23" s="38"/>
      <c r="E23" s="38"/>
      <c r="F23" s="38"/>
      <c r="G23" s="38"/>
      <c r="H23" s="38"/>
      <c r="I23" s="28" t="n">
        <f aca="false">SUM($C$18:C23)</f>
        <v>0</v>
      </c>
      <c r="J23" s="21" t="str">
        <f aca="false">IF(D6=0,"-",I23/D6)</f>
        <v>-</v>
      </c>
    </row>
    <row r="24" customFormat="false" ht="15" hidden="false" customHeight="true" outlineLevel="0" collapsed="false">
      <c r="A24" s="18" t="s">
        <v>231</v>
      </c>
      <c r="B24" s="25" t="str">
        <f aca="false">IF(D6=0,"-",D6/12)</f>
        <v>-</v>
      </c>
      <c r="C24" s="25" t="str">
        <f aca="false">IF(D24+E24+F24+G24+H24=0,"",D24+E24+F24+G24+H24)</f>
        <v/>
      </c>
      <c r="D24" s="38"/>
      <c r="E24" s="38"/>
      <c r="F24" s="38"/>
      <c r="G24" s="38"/>
      <c r="H24" s="38"/>
      <c r="I24" s="25" t="n">
        <f aca="false">SUM($C$18:C24)</f>
        <v>0</v>
      </c>
      <c r="J24" s="19" t="str">
        <f aca="false">IF(D6=0,"-",I24/D6)</f>
        <v>-</v>
      </c>
    </row>
    <row r="25" customFormat="false" ht="15" hidden="false" customHeight="true" outlineLevel="0" collapsed="false">
      <c r="A25" s="20" t="s">
        <v>232</v>
      </c>
      <c r="B25" s="28" t="str">
        <f aca="false">IF(D6=0,"-",D6/12)</f>
        <v>-</v>
      </c>
      <c r="C25" s="28" t="str">
        <f aca="false">IF(D25+E25+F25+G25+H25=0,"",D25+E25+F25+G25+H25)</f>
        <v/>
      </c>
      <c r="D25" s="38"/>
      <c r="E25" s="38"/>
      <c r="F25" s="38"/>
      <c r="G25" s="38"/>
      <c r="H25" s="38"/>
      <c r="I25" s="28" t="n">
        <f aca="false">SUM($C$18:C25)</f>
        <v>0</v>
      </c>
      <c r="J25" s="21" t="str">
        <f aca="false">IF(D6=0,"-",I25/D6)</f>
        <v>-</v>
      </c>
    </row>
    <row r="26" customFormat="false" ht="15" hidden="false" customHeight="true" outlineLevel="0" collapsed="false">
      <c r="A26" s="18" t="s">
        <v>233</v>
      </c>
      <c r="B26" s="25" t="str">
        <f aca="false">IF(D6=0,"-",D6/12)</f>
        <v>-</v>
      </c>
      <c r="C26" s="25" t="str">
        <f aca="false">IF(D26+E26+F26+G26+H26=0,"",D26+E26+F26+G26+H26)</f>
        <v/>
      </c>
      <c r="D26" s="38"/>
      <c r="E26" s="38"/>
      <c r="F26" s="38"/>
      <c r="G26" s="38"/>
      <c r="H26" s="38"/>
      <c r="I26" s="25" t="n">
        <f aca="false">SUM($C$18:C26)</f>
        <v>0</v>
      </c>
      <c r="J26" s="19" t="str">
        <f aca="false">IF(D6=0,"-",I26/D6)</f>
        <v>-</v>
      </c>
    </row>
    <row r="27" customFormat="false" ht="15" hidden="false" customHeight="true" outlineLevel="0" collapsed="false">
      <c r="A27" s="20" t="s">
        <v>234</v>
      </c>
      <c r="B27" s="28" t="str">
        <f aca="false">IF(D6=0,"-",D6/12)</f>
        <v>-</v>
      </c>
      <c r="C27" s="28" t="str">
        <f aca="false">IF(D27+E27+F27+G27+H27=0,"",D27+E27+F27+G27+H27)</f>
        <v/>
      </c>
      <c r="D27" s="38"/>
      <c r="E27" s="38"/>
      <c r="F27" s="38"/>
      <c r="G27" s="38"/>
      <c r="H27" s="38"/>
      <c r="I27" s="28" t="n">
        <f aca="false">SUM($C$18:C27)</f>
        <v>0</v>
      </c>
      <c r="J27" s="21" t="str">
        <f aca="false">IF(D6=0,"-",I27/D6)</f>
        <v>-</v>
      </c>
    </row>
    <row r="28" customFormat="false" ht="15" hidden="false" customHeight="true" outlineLevel="0" collapsed="false">
      <c r="A28" s="18" t="s">
        <v>235</v>
      </c>
      <c r="B28" s="25" t="str">
        <f aca="false">IF(D6=0,"-",D6/12)</f>
        <v>-</v>
      </c>
      <c r="C28" s="25" t="str">
        <f aca="false">IF(D28+E28+F28+G28+H28=0,"",D28+E28+F28+G28+H28)</f>
        <v/>
      </c>
      <c r="D28" s="38"/>
      <c r="E28" s="38"/>
      <c r="F28" s="38"/>
      <c r="G28" s="38"/>
      <c r="H28" s="38"/>
      <c r="I28" s="25" t="n">
        <f aca="false">SUM($C$18:C28)</f>
        <v>0</v>
      </c>
      <c r="J28" s="19" t="str">
        <f aca="false">IF(D6=0,"-",I28/D6)</f>
        <v>-</v>
      </c>
    </row>
    <row r="29" customFormat="false" ht="15" hidden="false" customHeight="true" outlineLevel="0" collapsed="false">
      <c r="A29" s="20" t="s">
        <v>236</v>
      </c>
      <c r="B29" s="28" t="str">
        <f aca="false">IF(D6=0,"-",D6/12)</f>
        <v>-</v>
      </c>
      <c r="C29" s="28" t="str">
        <f aca="false">IF(D29+E29+F29+G29+H29=0,"",D29+E29+F29+G29+H29)</f>
        <v/>
      </c>
      <c r="D29" s="38"/>
      <c r="E29" s="38"/>
      <c r="F29" s="38"/>
      <c r="G29" s="38"/>
      <c r="H29" s="38"/>
      <c r="I29" s="28" t="n">
        <f aca="false">SUM($C$18:C29)</f>
        <v>0</v>
      </c>
      <c r="J29" s="21" t="str">
        <f aca="false">IF(D6=0,"-",I29/D6)</f>
        <v>-</v>
      </c>
    </row>
    <row r="30" customFormat="false" ht="18" hidden="false" customHeight="true" outlineLevel="0" collapsed="false">
      <c r="A30" s="64" t="s">
        <v>237</v>
      </c>
      <c r="B30" s="65" t="str">
        <f aca="false">IF(D6=0,"-",D6)</f>
        <v>-</v>
      </c>
      <c r="C30" s="65" t="n">
        <f aca="false">SUM(C18:C29)</f>
        <v>0</v>
      </c>
      <c r="D30" s="65" t="n">
        <f aca="false">SUM(D18:D29)</f>
        <v>0</v>
      </c>
      <c r="E30" s="65" t="n">
        <f aca="false">SUM(E18:E29)</f>
        <v>0</v>
      </c>
      <c r="F30" s="65" t="n">
        <f aca="false">SUM(F18:F29)</f>
        <v>0</v>
      </c>
      <c r="G30" s="65" t="n">
        <f aca="false">SUM(G18:G29)</f>
        <v>0</v>
      </c>
      <c r="H30" s="65" t="n">
        <f aca="false">SUM(H18:H29)</f>
        <v>0</v>
      </c>
      <c r="I30" s="65"/>
      <c r="J30" s="65" t="str">
        <f aca="false">IF(D6=0,"-",C30/D6)</f>
        <v>-</v>
      </c>
    </row>
  </sheetData>
  <mergeCells count="16">
    <mergeCell ref="A1:J1"/>
    <mergeCell ref="A2:J2"/>
    <mergeCell ref="A3:J3"/>
    <mergeCell ref="A5:J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2:J12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240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8" hidden="false" customHeight="true" outlineLevel="0" collapsed="false">
      <c r="A5" s="4" t="s">
        <v>241</v>
      </c>
      <c r="B5" s="4"/>
      <c r="C5" s="4"/>
      <c r="D5" s="4"/>
      <c r="E5" s="4"/>
      <c r="F5" s="4"/>
      <c r="G5" s="4"/>
      <c r="H5" s="4"/>
      <c r="I5" s="4"/>
    </row>
    <row r="6" customFormat="false" ht="15.75" hidden="false" customHeight="true" outlineLevel="0" collapsed="false">
      <c r="A6" s="23" t="s">
        <v>242</v>
      </c>
      <c r="B6" s="23" t="s">
        <v>243</v>
      </c>
      <c r="C6" s="23" t="s">
        <v>244</v>
      </c>
      <c r="D6" s="23" t="s">
        <v>245</v>
      </c>
      <c r="E6" s="23" t="s">
        <v>24</v>
      </c>
      <c r="F6" s="23" t="s">
        <v>246</v>
      </c>
    </row>
    <row r="7" customFormat="false" ht="19.5" hidden="false" customHeight="true" outlineLevel="0" collapsed="false">
      <c r="A7" s="24" t="n">
        <f aca="false">SUM(C9:C19)</f>
        <v>0</v>
      </c>
      <c r="B7" s="24" t="n">
        <f aca="false">SUM(E9:E19)</f>
        <v>0</v>
      </c>
      <c r="C7" s="24" t="str">
        <f aca="false">IF(B7=0,"-",SUMIF(A9:A19,"Major Donor",E9:E19)/B7)</f>
        <v>-</v>
      </c>
      <c r="D7" s="24" t="str">
        <f aca="false">IF(B7=0,"-",SUMIF(A9:A19,"Mid-Level",E9:E19)/B7)</f>
        <v>-</v>
      </c>
      <c r="E7" s="24" t="str">
        <f aca="false">IF(A7=0,"-",B7/A7)</f>
        <v>-</v>
      </c>
      <c r="F7" s="24" t="n">
        <f aca="false">SUMIF(H9:H19,"&gt;0",H9:H19)</f>
        <v>0</v>
      </c>
    </row>
    <row r="8" customFormat="false" ht="15.75" hidden="false" customHeight="true" outlineLevel="0" collapsed="false">
      <c r="A8" s="23" t="s">
        <v>247</v>
      </c>
      <c r="B8" s="23" t="s">
        <v>248</v>
      </c>
      <c r="C8" s="23" t="s">
        <v>249</v>
      </c>
      <c r="D8" s="23" t="s">
        <v>250</v>
      </c>
      <c r="E8" s="23" t="s">
        <v>170</v>
      </c>
      <c r="F8" s="23" t="s">
        <v>251</v>
      </c>
      <c r="G8" s="23" t="s">
        <v>173</v>
      </c>
      <c r="H8" s="23" t="s">
        <v>252</v>
      </c>
      <c r="I8" s="23" t="s">
        <v>68</v>
      </c>
    </row>
    <row r="9" customFormat="false" ht="15" hidden="false" customHeight="true" outlineLevel="0" collapsed="false">
      <c r="A9" s="40" t="s">
        <v>253</v>
      </c>
      <c r="B9" s="41" t="s">
        <v>254</v>
      </c>
      <c r="C9" s="77"/>
      <c r="D9" s="43" t="n">
        <v>2</v>
      </c>
      <c r="E9" s="38"/>
      <c r="F9" s="43" t="str">
        <f aca="false">IF(SUM(E9:E20)=0,"-",E9/SUM(E9:E20))</f>
        <v>-</v>
      </c>
      <c r="G9" s="42" t="str">
        <f aca="false">IF(C9=0,"-",E9/C9)</f>
        <v>-</v>
      </c>
      <c r="H9" s="43" t="str">
        <f aca="false">IF(C9=0,"-",D9-C9)</f>
        <v>-</v>
      </c>
      <c r="I9" s="41"/>
    </row>
    <row r="10" customFormat="false" ht="15" hidden="false" customHeight="true" outlineLevel="0" collapsed="false">
      <c r="A10" s="35" t="s">
        <v>89</v>
      </c>
      <c r="B10" s="36" t="s">
        <v>255</v>
      </c>
      <c r="C10" s="77"/>
      <c r="D10" s="39" t="n">
        <v>5</v>
      </c>
      <c r="E10" s="38"/>
      <c r="F10" s="39" t="str">
        <f aca="false">IF(SUM(E9:E20)=0,"-",E10/SUM(E9:E20))</f>
        <v>-</v>
      </c>
      <c r="G10" s="37" t="str">
        <f aca="false">IF(C10=0,"-",E10/C10)</f>
        <v>-</v>
      </c>
      <c r="H10" s="39" t="str">
        <f aca="false">IF(C10=0,"-",D10-C10)</f>
        <v>-</v>
      </c>
      <c r="I10" s="36"/>
    </row>
    <row r="11" customFormat="false" ht="15" hidden="false" customHeight="true" outlineLevel="0" collapsed="false">
      <c r="A11" s="44" t="s">
        <v>256</v>
      </c>
      <c r="B11" s="26" t="s">
        <v>257</v>
      </c>
      <c r="C11" s="77"/>
      <c r="D11" s="46" t="n">
        <v>8</v>
      </c>
      <c r="E11" s="38"/>
      <c r="F11" s="46" t="str">
        <f aca="false">IF(SUM(E9:E20)=0,"-",E11/SUM(E9:E20))</f>
        <v>-</v>
      </c>
      <c r="G11" s="45" t="str">
        <f aca="false">IF(C11=0,"-",E11/C11)</f>
        <v>-</v>
      </c>
      <c r="H11" s="46" t="str">
        <f aca="false">IF(C11=0,"-",D11-C11)</f>
        <v>-</v>
      </c>
      <c r="I11" s="26"/>
    </row>
    <row r="12" customFormat="false" ht="15" hidden="false" customHeight="true" outlineLevel="0" collapsed="false">
      <c r="A12" s="50" t="s">
        <v>72</v>
      </c>
      <c r="B12" s="31" t="s">
        <v>258</v>
      </c>
      <c r="C12" s="77"/>
      <c r="D12" s="52" t="n">
        <v>25</v>
      </c>
      <c r="E12" s="38"/>
      <c r="F12" s="52" t="str">
        <f aca="false">IF(SUM(E9:E20)=0,"-",E12/SUM(E9:E20))</f>
        <v>-</v>
      </c>
      <c r="G12" s="51" t="str">
        <f aca="false">IF(C12=0,"-",E12/C12)</f>
        <v>-</v>
      </c>
      <c r="H12" s="52" t="str">
        <f aca="false">IF(C12=0,"-",D12-C12)</f>
        <v>-</v>
      </c>
      <c r="I12" s="31"/>
    </row>
    <row r="13" customFormat="false" ht="15" hidden="false" customHeight="true" outlineLevel="0" collapsed="false">
      <c r="A13" s="50" t="s">
        <v>72</v>
      </c>
      <c r="B13" s="31" t="s">
        <v>259</v>
      </c>
      <c r="C13" s="77"/>
      <c r="D13" s="52" t="n">
        <v>40</v>
      </c>
      <c r="E13" s="38"/>
      <c r="F13" s="52" t="str">
        <f aca="false">IF(SUM(E9:E20)=0,"-",E13/SUM(E9:E20))</f>
        <v>-</v>
      </c>
      <c r="G13" s="51" t="str">
        <f aca="false">IF(C13=0,"-",E13/C13)</f>
        <v>-</v>
      </c>
      <c r="H13" s="52" t="str">
        <f aca="false">IF(C13=0,"-",D13-C13)</f>
        <v>-</v>
      </c>
      <c r="I13" s="31"/>
    </row>
    <row r="14" customFormat="false" ht="15" hidden="false" customHeight="true" outlineLevel="0" collapsed="false">
      <c r="A14" s="18" t="s">
        <v>81</v>
      </c>
      <c r="B14" s="27" t="s">
        <v>260</v>
      </c>
      <c r="C14" s="77"/>
      <c r="D14" s="19" t="n">
        <v>75</v>
      </c>
      <c r="E14" s="38"/>
      <c r="F14" s="19" t="str">
        <f aca="false">IF(SUM(E9:E20)=0,"-",E14/SUM(E9:E20))</f>
        <v>-</v>
      </c>
      <c r="G14" s="25" t="str">
        <f aca="false">IF(C14=0,"-",E14/C14)</f>
        <v>-</v>
      </c>
      <c r="H14" s="19" t="str">
        <f aca="false">IF(C14=0,"-",D14-C14)</f>
        <v>-</v>
      </c>
      <c r="I14" s="27"/>
    </row>
    <row r="15" customFormat="false" ht="15" hidden="false" customHeight="true" outlineLevel="0" collapsed="false">
      <c r="A15" s="18" t="s">
        <v>81</v>
      </c>
      <c r="B15" s="27" t="s">
        <v>261</v>
      </c>
      <c r="C15" s="77"/>
      <c r="D15" s="19" t="n">
        <v>150</v>
      </c>
      <c r="E15" s="38"/>
      <c r="F15" s="19" t="str">
        <f aca="false">IF(SUM(E9:E20)=0,"-",E15/SUM(E9:E20))</f>
        <v>-</v>
      </c>
      <c r="G15" s="25" t="str">
        <f aca="false">IF(C15=0,"-",E15/C15)</f>
        <v>-</v>
      </c>
      <c r="H15" s="19" t="str">
        <f aca="false">IF(C15=0,"-",D15-C15)</f>
        <v>-</v>
      </c>
      <c r="I15" s="27"/>
    </row>
    <row r="16" customFormat="false" ht="15" hidden="false" customHeight="true" outlineLevel="0" collapsed="false">
      <c r="A16" s="18" t="s">
        <v>81</v>
      </c>
      <c r="B16" s="27" t="s">
        <v>262</v>
      </c>
      <c r="C16" s="77"/>
      <c r="D16" s="19" t="n">
        <v>200</v>
      </c>
      <c r="E16" s="38"/>
      <c r="F16" s="19" t="str">
        <f aca="false">IF(SUM(E9:E20)=0,"-",E16/SUM(E9:E20))</f>
        <v>-</v>
      </c>
      <c r="G16" s="25" t="str">
        <f aca="false">IF(C16=0,"-",E16/C16)</f>
        <v>-</v>
      </c>
      <c r="H16" s="19" t="str">
        <f aca="false">IF(C16=0,"-",D16-C16)</f>
        <v>-</v>
      </c>
      <c r="I16" s="27"/>
    </row>
    <row r="17" customFormat="false" ht="15" hidden="false" customHeight="true" outlineLevel="0" collapsed="false">
      <c r="A17" s="18" t="s">
        <v>81</v>
      </c>
      <c r="B17" s="27" t="s">
        <v>263</v>
      </c>
      <c r="C17" s="77"/>
      <c r="D17" s="19" t="n">
        <v>300</v>
      </c>
      <c r="E17" s="38"/>
      <c r="F17" s="19" t="str">
        <f aca="false">IF(SUM(E9:E20)=0,"-",E17/SUM(E9:E20))</f>
        <v>-</v>
      </c>
      <c r="G17" s="25" t="str">
        <f aca="false">IF(C17=0,"-",E17/C17)</f>
        <v>-</v>
      </c>
      <c r="H17" s="19" t="str">
        <f aca="false">IF(C17=0,"-",D17-C17)</f>
        <v>-</v>
      </c>
      <c r="I17" s="27"/>
    </row>
    <row r="18" customFormat="false" ht="15" hidden="false" customHeight="true" outlineLevel="0" collapsed="false">
      <c r="A18" s="47" t="s">
        <v>264</v>
      </c>
      <c r="B18" s="32" t="s">
        <v>265</v>
      </c>
      <c r="C18" s="77"/>
      <c r="D18" s="49" t="n">
        <v>50</v>
      </c>
      <c r="E18" s="38"/>
      <c r="F18" s="49" t="str">
        <f aca="false">IF(SUM(E9:E20)=0,"-",E18/SUM(E9:E20))</f>
        <v>-</v>
      </c>
      <c r="G18" s="48" t="str">
        <f aca="false">IF(C18=0,"-",E18/C18)</f>
        <v>-</v>
      </c>
      <c r="H18" s="49" t="str">
        <f aca="false">IF(C18=0,"-",D18-C18)</f>
        <v>-</v>
      </c>
      <c r="I18" s="32"/>
    </row>
    <row r="19" customFormat="false" ht="15" hidden="false" customHeight="true" outlineLevel="0" collapsed="false">
      <c r="A19" s="57" t="s">
        <v>80</v>
      </c>
      <c r="B19" s="30" t="s">
        <v>266</v>
      </c>
      <c r="C19" s="77"/>
      <c r="D19" s="59" t="n">
        <v>0</v>
      </c>
      <c r="E19" s="38"/>
      <c r="F19" s="59" t="str">
        <f aca="false">IF(SUM(E9:E20)=0,"-",E19/SUM(E9:E20))</f>
        <v>-</v>
      </c>
      <c r="G19" s="58" t="str">
        <f aca="false">IF(C19=0,"-",E19/C19)</f>
        <v>-</v>
      </c>
      <c r="H19" s="59" t="str">
        <f aca="false">IF(C19=0,"-",D19-C19)</f>
        <v>-</v>
      </c>
      <c r="I19" s="30"/>
    </row>
    <row r="20" customFormat="false" ht="18" hidden="false" customHeight="true" outlineLevel="0" collapsed="false">
      <c r="A20" s="64" t="s">
        <v>153</v>
      </c>
      <c r="B20" s="65"/>
      <c r="C20" s="65" t="n">
        <f aca="false">SUM(C9:C19)</f>
        <v>0</v>
      </c>
      <c r="D20" s="65" t="n">
        <f aca="false">SUM(D9:D19)</f>
        <v>855</v>
      </c>
      <c r="E20" s="65" t="n">
        <f aca="false">SUM(E9:E19)</f>
        <v>0</v>
      </c>
      <c r="F20" s="65" t="s">
        <v>267</v>
      </c>
      <c r="G20" s="65"/>
      <c r="H20" s="65"/>
      <c r="I20" s="65"/>
    </row>
  </sheetData>
  <mergeCells count="4">
    <mergeCell ref="A1:I1"/>
    <mergeCell ref="A2:I2"/>
    <mergeCell ref="A3:I3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78" t="s">
        <v>268</v>
      </c>
      <c r="B1" s="78"/>
      <c r="C1" s="78"/>
      <c r="D1" s="78"/>
      <c r="E1" s="78"/>
      <c r="F1" s="78"/>
      <c r="G1" s="78"/>
      <c r="H1" s="78"/>
    </row>
    <row r="2" customFormat="false" ht="21.75" hidden="false" customHeight="true" outlineLevel="0" collapsed="false">
      <c r="A2" s="2" t="s">
        <v>269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270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18" hidden="false" customHeight="true" outlineLevel="0" collapsed="false">
      <c r="A5" s="13" t="s">
        <v>271</v>
      </c>
      <c r="B5" s="13"/>
      <c r="C5" s="13"/>
      <c r="D5" s="13"/>
      <c r="E5" s="13"/>
      <c r="F5" s="13"/>
      <c r="G5" s="13"/>
      <c r="H5" s="13"/>
    </row>
    <row r="6" customFormat="false" ht="15.75" hidden="false" customHeight="true" outlineLevel="0" collapsed="false">
      <c r="A6" s="14" t="s">
        <v>272</v>
      </c>
      <c r="B6" s="14" t="s">
        <v>120</v>
      </c>
      <c r="C6" s="14" t="s">
        <v>273</v>
      </c>
      <c r="D6" s="14" t="s">
        <v>34</v>
      </c>
      <c r="E6" s="14" t="s">
        <v>274</v>
      </c>
      <c r="F6" s="14" t="s">
        <v>275</v>
      </c>
      <c r="G6" s="14" t="s">
        <v>276</v>
      </c>
      <c r="H6" s="14" t="s">
        <v>36</v>
      </c>
    </row>
    <row r="7" customFormat="false" ht="15.75" hidden="false" customHeight="true" outlineLevel="0" collapsed="false">
      <c r="A7" s="79" t="s">
        <v>37</v>
      </c>
      <c r="B7" s="26" t="s">
        <v>277</v>
      </c>
      <c r="C7" s="46" t="s">
        <v>278</v>
      </c>
      <c r="D7" s="46" t="s">
        <v>279</v>
      </c>
      <c r="E7" s="46" t="s">
        <v>280</v>
      </c>
      <c r="F7" s="77"/>
      <c r="G7" s="77"/>
      <c r="H7" s="46" t="str">
        <f aca="false">IF(F7="","—",IF(F7=G7,"✅ On Target",IF(F7&gt;G7,"🔼 Above Goal","🔽 Below Goal")))</f>
        <v>—</v>
      </c>
    </row>
    <row r="8" customFormat="false" ht="15.75" hidden="false" customHeight="true" outlineLevel="0" collapsed="false">
      <c r="A8" s="79" t="s">
        <v>39</v>
      </c>
      <c r="B8" s="26" t="s">
        <v>277</v>
      </c>
      <c r="C8" s="46" t="s">
        <v>281</v>
      </c>
      <c r="D8" s="46" t="s">
        <v>282</v>
      </c>
      <c r="E8" s="46" t="s">
        <v>283</v>
      </c>
      <c r="F8" s="77"/>
      <c r="G8" s="77"/>
      <c r="H8" s="46" t="str">
        <f aca="false">IF(F8="","—",IF(F8=G8,"✅ On Target",IF(F8&gt;G8,"🔼 Above Goal","🔽 Below Goal")))</f>
        <v>—</v>
      </c>
    </row>
    <row r="9" customFormat="false" ht="15.75" hidden="false" customHeight="true" outlineLevel="0" collapsed="false">
      <c r="A9" s="79" t="s">
        <v>284</v>
      </c>
      <c r="B9" s="26" t="s">
        <v>277</v>
      </c>
      <c r="C9" s="46" t="s">
        <v>285</v>
      </c>
      <c r="D9" s="46" t="s">
        <v>286</v>
      </c>
      <c r="E9" s="46" t="s">
        <v>287</v>
      </c>
      <c r="F9" s="77"/>
      <c r="G9" s="77"/>
      <c r="H9" s="46" t="str">
        <f aca="false">IF(F9="","—",IF(F9=G9,"✅ On Target",IF(F9&gt;G9,"🔼 Above Goal","🔽 Below Goal")))</f>
        <v>—</v>
      </c>
    </row>
    <row r="10" customFormat="false" ht="15.75" hidden="false" customHeight="true" outlineLevel="0" collapsed="false">
      <c r="A10" s="79" t="s">
        <v>288</v>
      </c>
      <c r="B10" s="26" t="s">
        <v>277</v>
      </c>
      <c r="C10" s="46" t="s">
        <v>289</v>
      </c>
      <c r="D10" s="46" t="s">
        <v>290</v>
      </c>
      <c r="E10" s="46" t="s">
        <v>291</v>
      </c>
      <c r="F10" s="77"/>
      <c r="G10" s="77"/>
      <c r="H10" s="46" t="str">
        <f aca="false">IF(F10="","—",IF(F10=G10,"✅ On Target",IF(F10&gt;G10,"🔼 Above Goal","🔽 Below Goal")))</f>
        <v>—</v>
      </c>
    </row>
    <row r="11" customFormat="false" ht="15.75" hidden="false" customHeight="true" outlineLevel="0" collapsed="false">
      <c r="A11" s="80" t="s">
        <v>292</v>
      </c>
      <c r="B11" s="36" t="s">
        <v>293</v>
      </c>
      <c r="C11" s="39" t="s">
        <v>294</v>
      </c>
      <c r="D11" s="39" t="s">
        <v>295</v>
      </c>
      <c r="E11" s="39" t="s">
        <v>296</v>
      </c>
      <c r="F11" s="77"/>
      <c r="G11" s="77"/>
      <c r="H11" s="39" t="str">
        <f aca="false">IF(F11="","—",IF(F11=G11,"✅ On Target",IF(F11&gt;G11,"🔼 Above Goal","🔽 Below Goal")))</f>
        <v>—</v>
      </c>
    </row>
    <row r="12" customFormat="false" ht="15.75" hidden="false" customHeight="true" outlineLevel="0" collapsed="false">
      <c r="A12" s="80" t="s">
        <v>297</v>
      </c>
      <c r="B12" s="36" t="s">
        <v>293</v>
      </c>
      <c r="C12" s="39" t="s">
        <v>298</v>
      </c>
      <c r="D12" s="39" t="s">
        <v>299</v>
      </c>
      <c r="E12" s="39" t="s">
        <v>300</v>
      </c>
      <c r="F12" s="77"/>
      <c r="G12" s="77"/>
      <c r="H12" s="39" t="str">
        <f aca="false">IF(F12="","—",IF(F12=G12,"✅ On Target",IF(F12&gt;G12,"🔼 Above Goal","🔽 Below Goal")))</f>
        <v>—</v>
      </c>
    </row>
    <row r="13" customFormat="false" ht="15.75" hidden="false" customHeight="true" outlineLevel="0" collapsed="false">
      <c r="A13" s="80" t="s">
        <v>301</v>
      </c>
      <c r="B13" s="36" t="s">
        <v>293</v>
      </c>
      <c r="C13" s="39" t="s">
        <v>302</v>
      </c>
      <c r="D13" s="39" t="s">
        <v>303</v>
      </c>
      <c r="E13" s="39" t="s">
        <v>304</v>
      </c>
      <c r="F13" s="77"/>
      <c r="G13" s="77"/>
      <c r="H13" s="39" t="str">
        <f aca="false">IF(F13="","—",IF(F13=G13,"✅ On Target",IF(F13&gt;G13,"🔼 Above Goal","🔽 Below Goal")))</f>
        <v>—</v>
      </c>
    </row>
    <row r="14" customFormat="false" ht="15.75" hidden="false" customHeight="true" outlineLevel="0" collapsed="false">
      <c r="A14" s="81" t="s">
        <v>305</v>
      </c>
      <c r="B14" s="41" t="s">
        <v>306</v>
      </c>
      <c r="C14" s="43" t="s">
        <v>307</v>
      </c>
      <c r="D14" s="43" t="s">
        <v>308</v>
      </c>
      <c r="E14" s="43" t="s">
        <v>309</v>
      </c>
      <c r="F14" s="77"/>
      <c r="G14" s="77"/>
      <c r="H14" s="43" t="str">
        <f aca="false">IF(F14="","—",IF(F14=G14,"✅ On Target",IF(F14&gt;G14,"🔼 Above Goal","🔽 Below Goal")))</f>
        <v>—</v>
      </c>
    </row>
    <row r="15" customFormat="false" ht="15.75" hidden="false" customHeight="true" outlineLevel="0" collapsed="false">
      <c r="A15" s="81" t="s">
        <v>310</v>
      </c>
      <c r="B15" s="41" t="s">
        <v>306</v>
      </c>
      <c r="C15" s="43" t="s">
        <v>294</v>
      </c>
      <c r="D15" s="43" t="s">
        <v>302</v>
      </c>
      <c r="E15" s="43" t="s">
        <v>311</v>
      </c>
      <c r="F15" s="77"/>
      <c r="G15" s="77"/>
      <c r="H15" s="43" t="str">
        <f aca="false">IF(F15="","—",IF(F15=G15,"✅ On Target",IF(F15&gt;G15,"🔼 Above Goal","🔽 Below Goal")))</f>
        <v>—</v>
      </c>
    </row>
    <row r="16" customFormat="false" ht="15.75" hidden="false" customHeight="true" outlineLevel="0" collapsed="false">
      <c r="A16" s="82" t="s">
        <v>312</v>
      </c>
      <c r="B16" s="32" t="s">
        <v>313</v>
      </c>
      <c r="C16" s="49" t="s">
        <v>314</v>
      </c>
      <c r="D16" s="49" t="s">
        <v>315</v>
      </c>
      <c r="E16" s="49" t="s">
        <v>316</v>
      </c>
      <c r="F16" s="77"/>
      <c r="G16" s="77"/>
      <c r="H16" s="49" t="str">
        <f aca="false">IF(F16="","—",IF(F16=G16,"✅ On Target",IF(F16&gt;G16,"🔼 Above Goal","🔽 Below Goal")))</f>
        <v>—</v>
      </c>
    </row>
    <row r="17" customFormat="false" ht="15.75" hidden="false" customHeight="true" outlineLevel="0" collapsed="false">
      <c r="A17" s="82" t="s">
        <v>317</v>
      </c>
      <c r="B17" s="32" t="s">
        <v>313</v>
      </c>
      <c r="C17" s="49" t="s">
        <v>314</v>
      </c>
      <c r="D17" s="49" t="s">
        <v>318</v>
      </c>
      <c r="E17" s="49" t="s">
        <v>319</v>
      </c>
      <c r="F17" s="77"/>
      <c r="G17" s="77"/>
      <c r="H17" s="49" t="str">
        <f aca="false">IF(F17="","—",IF(F17=G17,"✅ On Target",IF(F17&gt;G17,"🔼 Above Goal","🔽 Below Goal")))</f>
        <v>—</v>
      </c>
    </row>
    <row r="18" customFormat="false" ht="15.75" hidden="false" customHeight="true" outlineLevel="0" collapsed="false">
      <c r="A18" s="83" t="s">
        <v>320</v>
      </c>
      <c r="B18" s="31" t="s">
        <v>142</v>
      </c>
      <c r="C18" s="52" t="s">
        <v>289</v>
      </c>
      <c r="D18" s="52" t="s">
        <v>321</v>
      </c>
      <c r="E18" s="52" t="s">
        <v>322</v>
      </c>
      <c r="F18" s="77"/>
      <c r="G18" s="77"/>
      <c r="H18" s="52" t="str">
        <f aca="false">IF(F18="","—",IF(F18=G18,"✅ On Target",IF(F18&gt;G18,"🔼 Above Goal","🔽 Below Goal")))</f>
        <v>—</v>
      </c>
    </row>
    <row r="19" customFormat="false" ht="15.75" hidden="false" customHeight="true" outlineLevel="0" collapsed="false">
      <c r="A19" s="83" t="s">
        <v>323</v>
      </c>
      <c r="B19" s="31" t="s">
        <v>142</v>
      </c>
      <c r="C19" s="52" t="s">
        <v>324</v>
      </c>
      <c r="D19" s="52" t="s">
        <v>325</v>
      </c>
      <c r="E19" s="52" t="s">
        <v>291</v>
      </c>
      <c r="F19" s="77"/>
      <c r="G19" s="77"/>
      <c r="H19" s="52" t="str">
        <f aca="false">IF(F19="","—",IF(F19=G19,"✅ On Target",IF(F19&gt;G19,"🔼 Above Goal","🔽 Below Goal")))</f>
        <v>—</v>
      </c>
    </row>
    <row r="20" customFormat="false" ht="15.75" hidden="false" customHeight="true" outlineLevel="0" collapsed="false">
      <c r="A20" s="84" t="s">
        <v>326</v>
      </c>
      <c r="B20" s="54" t="s">
        <v>327</v>
      </c>
      <c r="C20" s="56" t="s">
        <v>328</v>
      </c>
      <c r="D20" s="56" t="s">
        <v>329</v>
      </c>
      <c r="E20" s="56" t="s">
        <v>286</v>
      </c>
      <c r="F20" s="77"/>
      <c r="G20" s="77"/>
      <c r="H20" s="56" t="str">
        <f aca="false">IF(F20="","—",IF(F20=G20,"✅ On Target",IF(F20&gt;G20,"🔼 Above Goal","🔽 Below Goal")))</f>
        <v>—</v>
      </c>
    </row>
    <row r="21" customFormat="false" ht="15.75" hidden="false" customHeight="true" outlineLevel="0" collapsed="false">
      <c r="A21" s="84" t="s">
        <v>330</v>
      </c>
      <c r="B21" s="54" t="s">
        <v>327</v>
      </c>
      <c r="C21" s="56" t="s">
        <v>278</v>
      </c>
      <c r="D21" s="56" t="s">
        <v>280</v>
      </c>
      <c r="E21" s="56" t="s">
        <v>329</v>
      </c>
      <c r="F21" s="77"/>
      <c r="G21" s="77"/>
      <c r="H21" s="56" t="str">
        <f aca="false">IF(F21="","—",IF(F21=G21,"✅ On Target",IF(F21&gt;G21,"🔼 Above Goal","🔽 Below Goal")))</f>
        <v>—</v>
      </c>
    </row>
    <row r="22" customFormat="false" ht="15.75" hidden="false" customHeight="true" outlineLevel="0" collapsed="false">
      <c r="A22" s="84" t="s">
        <v>331</v>
      </c>
      <c r="B22" s="54" t="s">
        <v>327</v>
      </c>
      <c r="C22" s="56" t="s">
        <v>332</v>
      </c>
      <c r="D22" s="56" t="s">
        <v>333</v>
      </c>
      <c r="E22" s="56" t="s">
        <v>334</v>
      </c>
      <c r="F22" s="77"/>
      <c r="G22" s="77"/>
      <c r="H22" s="56" t="str">
        <f aca="false">IF(F22="","—",IF(F22=G22,"✅ On Target",IF(F22&gt;G22,"🔼 Above Goal","🔽 Below Goal")))</f>
        <v>—</v>
      </c>
    </row>
    <row r="23" customFormat="false" ht="15.75" hidden="false" customHeight="true" outlineLevel="0" collapsed="false">
      <c r="A23" s="85" t="s">
        <v>335</v>
      </c>
      <c r="B23" s="30" t="s">
        <v>336</v>
      </c>
      <c r="C23" s="59" t="s">
        <v>328</v>
      </c>
      <c r="D23" s="59" t="s">
        <v>337</v>
      </c>
      <c r="E23" s="59" t="s">
        <v>267</v>
      </c>
      <c r="F23" s="77"/>
      <c r="G23" s="77"/>
      <c r="H23" s="59" t="str">
        <f aca="false">IF(F23="","—",IF(F23=G23,"✅ On Target",IF(F23&gt;G23,"🔼 Above Goal","🔽 Below Goal")))</f>
        <v>—</v>
      </c>
    </row>
    <row r="24" customFormat="false" ht="15.75" hidden="false" customHeight="true" outlineLevel="0" collapsed="false">
      <c r="A24" s="79" t="s">
        <v>338</v>
      </c>
      <c r="B24" s="26" t="s">
        <v>339</v>
      </c>
      <c r="C24" s="46" t="s">
        <v>340</v>
      </c>
      <c r="D24" s="46" t="s">
        <v>324</v>
      </c>
      <c r="E24" s="46" t="s">
        <v>325</v>
      </c>
      <c r="F24" s="77"/>
      <c r="G24" s="77"/>
      <c r="H24" s="46" t="str">
        <f aca="false">IF(F24="","—",IF(F24=G24,"✅ On Target",IF(F24&gt;G24,"🔼 Above Goal","🔽 Below Goal")))</f>
        <v>—</v>
      </c>
    </row>
    <row r="25" customFormat="false" ht="15.75" hidden="false" customHeight="true" outlineLevel="0" collapsed="false">
      <c r="A25" s="81" t="s">
        <v>341</v>
      </c>
      <c r="B25" s="41" t="s">
        <v>306</v>
      </c>
      <c r="C25" s="43" t="s">
        <v>342</v>
      </c>
      <c r="D25" s="43" t="s">
        <v>343</v>
      </c>
      <c r="E25" s="43" t="s">
        <v>344</v>
      </c>
      <c r="F25" s="77"/>
      <c r="G25" s="77"/>
      <c r="H25" s="43" t="str">
        <f aca="false">IF(F25="","—",IF(F25=G25,"✅ On Target",IF(F25&gt;G25,"🔼 Above Goal","🔽 Below Goal")))</f>
        <v>—</v>
      </c>
    </row>
    <row r="26" customFormat="false" ht="15.75" hidden="false" customHeight="true" outlineLevel="0" collapsed="false">
      <c r="A26" s="86" t="s">
        <v>345</v>
      </c>
      <c r="B26" s="87" t="s">
        <v>346</v>
      </c>
      <c r="C26" s="88" t="s">
        <v>289</v>
      </c>
      <c r="D26" s="88" t="s">
        <v>321</v>
      </c>
      <c r="E26" s="88" t="s">
        <v>322</v>
      </c>
      <c r="F26" s="77"/>
      <c r="G26" s="77"/>
      <c r="H26" s="88" t="str">
        <f aca="false">IF(F26="","—",IF(F26=G26,"✅ On Target",IF(F26&gt;G26,"🔼 Above Goal","🔽 Below Goal")))</f>
        <v>—</v>
      </c>
    </row>
    <row r="27" customFormat="false" ht="7.5" hidden="false" customHeight="true" outlineLevel="0" collapsed="false"/>
    <row r="28" customFormat="false" ht="18" hidden="false" customHeight="true" outlineLevel="0" collapsed="false">
      <c r="A28" s="89" t="s">
        <v>347</v>
      </c>
      <c r="B28" s="89"/>
      <c r="C28" s="89"/>
      <c r="D28" s="89"/>
      <c r="E28" s="89"/>
      <c r="F28" s="89"/>
      <c r="G28" s="89"/>
      <c r="H28" s="89"/>
    </row>
    <row r="29" customFormat="false" ht="18" hidden="false" customHeight="true" outlineLevel="0" collapsed="false">
      <c r="A29" s="90" t="s">
        <v>348</v>
      </c>
      <c r="B29" s="90"/>
      <c r="C29" s="90"/>
      <c r="D29" s="90"/>
      <c r="E29" s="90"/>
      <c r="F29" s="90"/>
      <c r="G29" s="90"/>
      <c r="H29" s="90"/>
    </row>
    <row r="30" customFormat="false" ht="18" hidden="false" customHeight="true" outlineLevel="0" collapsed="false">
      <c r="A30" s="90" t="s">
        <v>349</v>
      </c>
      <c r="B30" s="90"/>
      <c r="C30" s="90"/>
      <c r="D30" s="90"/>
      <c r="E30" s="90"/>
      <c r="F30" s="90"/>
      <c r="G30" s="90"/>
      <c r="H30" s="90"/>
    </row>
    <row r="31" customFormat="false" ht="18" hidden="false" customHeight="true" outlineLevel="0" collapsed="false">
      <c r="A31" s="90" t="s">
        <v>350</v>
      </c>
      <c r="B31" s="90"/>
      <c r="C31" s="90"/>
      <c r="D31" s="90"/>
      <c r="E31" s="90"/>
      <c r="F31" s="90"/>
      <c r="G31" s="90"/>
      <c r="H31" s="90"/>
    </row>
    <row r="32" customFormat="false" ht="18" hidden="false" customHeight="true" outlineLevel="0" collapsed="false">
      <c r="A32" s="90" t="s">
        <v>351</v>
      </c>
      <c r="B32" s="90"/>
      <c r="C32" s="90"/>
      <c r="D32" s="90"/>
      <c r="E32" s="90"/>
      <c r="F32" s="90"/>
      <c r="G32" s="90"/>
      <c r="H32" s="90"/>
    </row>
    <row r="33" customFormat="false" ht="18" hidden="false" customHeight="true" outlineLevel="0" collapsed="false">
      <c r="A33" s="90" t="s">
        <v>352</v>
      </c>
      <c r="B33" s="90"/>
      <c r="C33" s="90"/>
      <c r="D33" s="90"/>
      <c r="E33" s="90"/>
      <c r="F33" s="90"/>
      <c r="G33" s="90"/>
      <c r="H33" s="90"/>
    </row>
  </sheetData>
  <mergeCells count="10">
    <mergeCell ref="A1:H1"/>
    <mergeCell ref="A2:H2"/>
    <mergeCell ref="A3:H3"/>
    <mergeCell ref="A5:H5"/>
    <mergeCell ref="A28:H28"/>
    <mergeCell ref="A29:H29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2026-05-11T13:44:46Z</dcterms:created>
  <dc:creator>openpyxl</dc:creator>
  <dc:description/>
  <dc:language>en-US</dc:language>
  <cp:lastModifiedBy/>
  <dcterms:modified xsi:type="dcterms:W3CDTF">2026-05-11T13:44:47Z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