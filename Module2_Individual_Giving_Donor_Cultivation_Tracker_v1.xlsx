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onor Pipeline" sheetId="2" state="visible" r:id="rId4"/>
    <sheet name="Moves Management Log" sheetId="3" state="visible" r:id="rId5"/>
    <sheet name="Solicitation Tracker" sheetId="4" state="visible" r:id="rId6"/>
    <sheet name="Stewardship Calendar" sheetId="5" state="visible" r:id="rId7"/>
    <sheet name="Retention Analysis" sheetId="6" state="visible" r:id="rId8"/>
    <sheet name="Lapsed Donor Track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<sst xmlns="http://schemas.openxmlformats.org/spreadsheetml/2006/main" count="508" uniqueCount="390">
  <si>
    <t xml:space="preserve">INDIVIDUAL GIVING &amp; DONOR CULTIVATION TOOLKIT</t>
  </si>
  <si>
    <t xml:space="preserve">Module 2: Individual Giving &amp; Donor Relations  |  Build Your Club Nonprofit Fundraising Course</t>
  </si>
  <si>
    <t xml:space="preserve">ORGANIZATION INFORMATION</t>
  </si>
  <si>
    <t xml:space="preserve">Organization Name:</t>
  </si>
  <si>
    <t xml:space="preserve">Fiscal Year:</t>
  </si>
  <si>
    <t xml:space="preserve">Development Officer:</t>
  </si>
  <si>
    <t xml:space="preserve">Date Updated:</t>
  </si>
  <si>
    <t xml:space="preserve">DONOR PIPELINE STAGE SUMMARY</t>
  </si>
  <si>
    <t xml:space="preserve">ℹ  Update the Donor Pipeline sheet to populate summary counts below. Counts pull from column C of that sheet.</t>
  </si>
  <si>
    <t xml:space="preserve">Lifecycle Stage</t>
  </si>
  <si>
    <t xml:space="preserve"># of Prospects/Donors</t>
  </si>
  <si>
    <t xml:space="preserve">% of Pipeline</t>
  </si>
  <si>
    <t xml:space="preserve">Proposed Ask Total ($)</t>
  </si>
  <si>
    <t xml:space="preserve">Avg. Proposed Ask ($)</t>
  </si>
  <si>
    <t xml:space="preserve">Notes</t>
  </si>
  <si>
    <t xml:space="preserve">Identified</t>
  </si>
  <si>
    <t xml:space="preserve">Initial list — not yet contacted</t>
  </si>
  <si>
    <t xml:space="preserve">Qualified</t>
  </si>
  <si>
    <t xml:space="preserve">Three Cs confirmed</t>
  </si>
  <si>
    <t xml:space="preserve">In Cultivation</t>
  </si>
  <si>
    <t xml:space="preserve">Actively building relationship</t>
  </si>
  <si>
    <t xml:space="preserve">Recently Solicited</t>
  </si>
  <si>
    <t xml:space="preserve">Ask made; awaiting response</t>
  </si>
  <si>
    <t xml:space="preserve">In Stewardship</t>
  </si>
  <si>
    <t xml:space="preserve">Gift received; nurturing for renewal</t>
  </si>
  <si>
    <t xml:space="preserve">Lapsed</t>
  </si>
  <si>
    <t xml:space="preserve">Prior donor; no gift in 12+ months</t>
  </si>
  <si>
    <t xml:space="preserve">TOTAL PIPELINE</t>
  </si>
  <si>
    <t xml:space="preserve">100%</t>
  </si>
  <si>
    <t xml:space="preserve">KEY PERFORMANCE INDICATORS</t>
  </si>
  <si>
    <t xml:space="preserve">KPI</t>
  </si>
  <si>
    <t xml:space="preserve">Current Value</t>
  </si>
  <si>
    <t xml:space="preserve">Target</t>
  </si>
  <si>
    <t xml:space="preserve">Status</t>
  </si>
  <si>
    <t xml:space="preserve">Formula / Notes</t>
  </si>
  <si>
    <t xml:space="preserve">Donor Retention Rate</t>
  </si>
  <si>
    <t xml:space="preserve">50%+</t>
  </si>
  <si>
    <t xml:space="preserve"># Donors who gave again ÷ Total donors from prior year</t>
  </si>
  <si>
    <t xml:space="preserve">First-Time Donor Retention</t>
  </si>
  <si>
    <t xml:space="preserve">30%+</t>
  </si>
  <si>
    <t xml:space="preserve">First-time donors renewed ÷ Total first-time donors (prior year)</t>
  </si>
  <si>
    <t xml:space="preserve">Donor Upgrade Rate</t>
  </si>
  <si>
    <t xml:space="preserve">25%+</t>
  </si>
  <si>
    <t xml:space="preserve"># Donors who increased gift ÷ Total renewed donors</t>
  </si>
  <si>
    <t xml:space="preserve">Pipeline Conversion Rate</t>
  </si>
  <si>
    <t xml:space="preserve">20%+</t>
  </si>
  <si>
    <t xml:space="preserve">Prospects solicited ÷ Total prospects in cultivation</t>
  </si>
  <si>
    <t xml:space="preserve">Average Gift Size</t>
  </si>
  <si>
    <t xml:space="preserve">Total individual giving revenue ÷ # of gifts</t>
  </si>
  <si>
    <t xml:space="preserve">Total Individual Giving Revenue ($)</t>
  </si>
  <si>
    <t xml:space="preserve">Sum of all individual gifts received this year</t>
  </si>
  <si>
    <t xml:space="preserve"># Active Major Gift Prospects</t>
  </si>
  <si>
    <t xml:space="preserve">30–50</t>
  </si>
  <si>
    <t xml:space="preserve">Prospects in active cultivation stage</t>
  </si>
  <si>
    <t xml:space="preserve">Touches per Major Donor per Year</t>
  </si>
  <si>
    <t xml:space="preserve">7–10</t>
  </si>
  <si>
    <t xml:space="preserve"># of meaningful touchpoints per major donor</t>
  </si>
  <si>
    <t xml:space="preserve">STATUS LEGEND</t>
  </si>
  <si>
    <t xml:space="preserve">✅ On Track</t>
  </si>
  <si>
    <t xml:space="preserve">⚠️ Needs Attention</t>
  </si>
  <si>
    <t xml:space="preserve">❌ Off Track</t>
  </si>
  <si>
    <t xml:space="preserve">📋 Not Yet Tracked</t>
  </si>
  <si>
    <t xml:space="preserve">💡 TIP: Enter your KPI values manually in column B, or link them from the tracker sheets. Update monthly for best insights.</t>
  </si>
  <si>
    <t xml:space="preserve">DONOR PIPELINE — PROSPECT &amp; DONOR MASTER TRACKER</t>
  </si>
  <si>
    <t xml:space="preserve">Module 2: Individual Giving &amp; Donor Relations  |  Track every prospect and donor through the full lifecycle</t>
  </si>
  <si>
    <t xml:space="preserve">ℹ  INSTRUCTIONS: Add every prospect and donor here. Update Lifecycle Stage, Three Cs scores, and Last Contact after every meaningful interaction. Use this as your master pipeline view.</t>
  </si>
  <si>
    <t xml:space="preserve">ID / NAME</t>
  </si>
  <si>
    <t xml:space="preserve">LIFECYCLE STAGE &amp; THREE Cs QUALIFICATION</t>
  </si>
  <si>
    <t xml:space="preserve">GIFT INTELLIGENCE</t>
  </si>
  <si>
    <t xml:space="preserve">CONTACT TRACKING</t>
  </si>
  <si>
    <t xml:space="preserve">PORTFOLIO MANAGEMENT</t>
  </si>
  <si>
    <t xml:space="preserve">#</t>
  </si>
  <si>
    <t xml:space="preserve">Prospect / Donor Name</t>
  </si>
  <si>
    <t xml:space="preserve">Capacity
(H/M/L)</t>
  </si>
  <si>
    <t xml:space="preserve">Connection
(H/M/L)</t>
  </si>
  <si>
    <t xml:space="preserve">Concern
(H/M/L)</t>
  </si>
  <si>
    <t xml:space="preserve">Proposed Ask ($)</t>
  </si>
  <si>
    <t xml:space="preserve">Gift Purpose / Program</t>
  </si>
  <si>
    <t xml:space="preserve">Largest Prior Gift ($)</t>
  </si>
  <si>
    <t xml:space="preserve">Total Lifetime Giving ($)</t>
  </si>
  <si>
    <t xml:space="preserve">Last Contact Date</t>
  </si>
  <si>
    <t xml:space="preserve">Next Action Date</t>
  </si>
  <si>
    <t xml:space="preserve">Assigned To</t>
  </si>
  <si>
    <t xml:space="preserve">Notes / Next Move</t>
  </si>
  <si>
    <t xml:space="preserve">Maria Johnson</t>
  </si>
  <si>
    <t xml:space="preserve">H</t>
  </si>
  <si>
    <t xml:space="preserve">Youth Education Fund</t>
  </si>
  <si>
    <t xml:space="preserve">04/15/2026</t>
  </si>
  <si>
    <t xml:space="preserve">05/20/2026</t>
  </si>
  <si>
    <t xml:space="preserve">Development Director</t>
  </si>
  <si>
    <t xml:space="preserve">Board referral; excited about mentorship program. Schedule site visit.</t>
  </si>
  <si>
    <t xml:space="preserve">Robert &amp; Susan Chen</t>
  </si>
  <si>
    <t xml:space="preserve">M</t>
  </si>
  <si>
    <t xml:space="preserve">Scholarship Endowment</t>
  </si>
  <si>
    <t xml:space="preserve">04/28/2026</t>
  </si>
  <si>
    <t xml:space="preserve">06/10/2026</t>
  </si>
  <si>
    <t xml:space="preserve">Executive Director</t>
  </si>
  <si>
    <t xml:space="preserve">Gave $10K in March. Send impact report by June. Renewal convo in Q4.</t>
  </si>
  <si>
    <t xml:space="preserve">David Martinez</t>
  </si>
  <si>
    <t xml:space="preserve">General Operations</t>
  </si>
  <si>
    <t xml:space="preserve">05/01/2026</t>
  </si>
  <si>
    <t xml:space="preserve">05/15/2026</t>
  </si>
  <si>
    <t xml:space="preserve">Long-time volunteer; never asked. Book discovery lunch.</t>
  </si>
  <si>
    <t xml:space="preserve">Patricia Williams</t>
  </si>
  <si>
    <t xml:space="preserve">L</t>
  </si>
  <si>
    <t xml:space="preserve">Capital Campaign</t>
  </si>
  <si>
    <t xml:space="preserve">05/30/2026</t>
  </si>
  <si>
    <t xml:space="preserve">Board Member A</t>
  </si>
  <si>
    <t xml:space="preserve">Community philanthropist. Need warm intro from board.</t>
  </si>
  <si>
    <t xml:space="preserve">James Thompson</t>
  </si>
  <si>
    <t xml:space="preserve">Annual Fund</t>
  </si>
  <si>
    <t xml:space="preserve">01/10/2026</t>
  </si>
  <si>
    <t xml:space="preserve">Gave 3 yrs in a row, lapsed in 2025. Send personal re-engagement letter.</t>
  </si>
  <si>
    <t xml:space="preserve">LIFECYCLE STAGE KEY</t>
  </si>
  <si>
    <t xml:space="preserve">Prospect found; no meaningful contact yet</t>
  </si>
  <si>
    <t xml:space="preserve">Three Cs confirmed; ready for active cultivation</t>
  </si>
  <si>
    <t xml:space="preserve">Actively building relationship with planned moves</t>
  </si>
  <si>
    <t xml:space="preserve">Ask made; awaiting or following up on response</t>
  </si>
  <si>
    <t xml:space="preserve">Gift received; executing stewardship plan for renewal</t>
  </si>
  <si>
    <t xml:space="preserve">Prior donor; no gift in 12+ months; re-engagement needed</t>
  </si>
  <si>
    <t xml:space="preserve">MOVES MANAGEMENT LOG — CULTIVATION TOUCHPOINT TRACKER</t>
  </si>
  <si>
    <t xml:space="preserve">Module 2: Individual Giving &amp; Donor Relations  |  Track every meaningful interaction with major gift prospects</t>
  </si>
  <si>
    <t xml:space="preserve">ℹ  INSTRUCTIONS: Log every significant cultivation touchpoint immediately after it occurs. A 'move' is any intentional interaction designed to deepen the prospect's relationship with your organization. Update Next Move and Date after each entry.</t>
  </si>
  <si>
    <t xml:space="preserve">Date</t>
  </si>
  <si>
    <t xml:space="preserve">Touchpoint Type</t>
  </si>
  <si>
    <t xml:space="preserve">Attended By
(Staff/Board)</t>
  </si>
  <si>
    <t xml:space="preserve">What Was Discussed /
Accomplished</t>
  </si>
  <si>
    <t xml:space="preserve">What Was Learned
(Interests, Concerns)</t>
  </si>
  <si>
    <t xml:space="preserve">Next Planned Move</t>
  </si>
  <si>
    <t xml:space="preserve">Next Move
Target Date</t>
  </si>
  <si>
    <t xml:space="preserve">Lifecycle Stage
after Move</t>
  </si>
  <si>
    <t xml:space="preserve">03/12/2026</t>
  </si>
  <si>
    <t xml:space="preserve">Discovery Meeting</t>
  </si>
  <si>
    <t xml:space="preserve">Dev. Director</t>
  </si>
  <si>
    <t xml:space="preserve">One-on-one coffee. Shared overview of mentorship program outcomes.</t>
  </si>
  <si>
    <t xml:space="preserve">Passionate about youth; wants impact data on job placements post-program.</t>
  </si>
  <si>
    <t xml:space="preserve">Site visit with program director to meet a mentee</t>
  </si>
  <si>
    <t xml:space="preserve">Site Visit / Tour</t>
  </si>
  <si>
    <t xml:space="preserve">Dev. Director + Program Director</t>
  </si>
  <si>
    <t xml:space="preserve">Toured facility; Maria met two mentees and heard their stories directly.</t>
  </si>
  <si>
    <t xml:space="preserve">Moved to tears during mentee presentations. 'This is exactly what I care about.'</t>
  </si>
  <si>
    <t xml:space="preserve">Personal thank-you call from ED + invite to spring board breakfast</t>
  </si>
  <si>
    <t xml:space="preserve">04/20/2026</t>
  </si>
  <si>
    <t xml:space="preserve">03/28/2026</t>
  </si>
  <si>
    <t xml:space="preserve">Board Member Lunch</t>
  </si>
  <si>
    <t xml:space="preserve">Board Chair + ED</t>
  </si>
  <si>
    <t xml:space="preserve">Lunch with Board Chair. Discussed scholarship program and endowment opportunity.</t>
  </si>
  <si>
    <t xml:space="preserve">Interested in legacy giving; wants scholarship named for their late son.</t>
  </si>
  <si>
    <t xml:space="preserve">Send named scholarship proposal; schedule follow-up call</t>
  </si>
  <si>
    <t xml:space="preserve">04/10/2026</t>
  </si>
  <si>
    <t xml:space="preserve">Lunch at local restaurant. First formal conversation about philanthropy.</t>
  </si>
  <si>
    <t xml:space="preserve">Deeply loyal volunteer; never considered a major gift. Open to the idea.</t>
  </si>
  <si>
    <t xml:space="preserve">Follow up with personal note + invite to next cultivation event</t>
  </si>
  <si>
    <t xml:space="preserve">05/05/2026</t>
  </si>
  <si>
    <t xml:space="preserve">Phone Check-In</t>
  </si>
  <si>
    <t xml:space="preserve">Re-engagement call after 18 months of lapse. Warm response.</t>
  </si>
  <si>
    <t xml:space="preserve">Had a difficult personal year; still cares about the mission.</t>
  </si>
  <si>
    <t xml:space="preserve">Send personalized impact report showing 2025 program outcomes</t>
  </si>
  <si>
    <t xml:space="preserve">05/12/2026</t>
  </si>
  <si>
    <t xml:space="preserve">TOUCHPOINT TYPE REFERENCE</t>
  </si>
  <si>
    <t xml:space="preserve">One-on-one conversation focused on learning about the prospect's values and interests. No ask.</t>
  </si>
  <si>
    <t xml:space="preserve">Bring prospect to see your work firsthand. Most powerful cultivation tool.</t>
  </si>
  <si>
    <t xml:space="preserve">Program Introduction</t>
  </si>
  <si>
    <t xml:space="preserve">Introduce prospect to program staff or beneficiaries (with consent).</t>
  </si>
  <si>
    <t xml:space="preserve">Event Invitation</t>
  </si>
  <si>
    <t xml:space="preserve">Cultivation breakfast, donor circle, behind-the-scenes gathering.</t>
  </si>
  <si>
    <t xml:space="preserve">Impact Update</t>
  </si>
  <si>
    <t xml:space="preserve">Personalized story or outcome report — NOT a newsletter. Personal and specific.</t>
  </si>
  <si>
    <t xml:space="preserve">Board Member Engagement</t>
  </si>
  <si>
    <t xml:space="preserve">Personal call, note, or lunch from a board member who shares the prospect's background.</t>
  </si>
  <si>
    <t xml:space="preserve">Handwritten Note</t>
  </si>
  <si>
    <t xml:space="preserve">Brief personal note after an event, announcement, or milestone in prospect's life.</t>
  </si>
  <si>
    <t xml:space="preserve">Brief call to stay connected, share news, or follow up on a previous conversation.</t>
  </si>
  <si>
    <t xml:space="preserve">Volunteer Opportunity</t>
  </si>
  <si>
    <t xml:space="preserve">Offer a meaningful volunteer role before making a financial ask.</t>
  </si>
  <si>
    <t xml:space="preserve">SOLICITATION TRACKER — ASK LOG &amp; OUTCOMES</t>
  </si>
  <si>
    <t xml:space="preserve">Module 2: Individual Giving &amp; Donor Relations  |  Track every solicitation from ask through outcome and next steps</t>
  </si>
  <si>
    <t xml:space="preserve">ℹ  INSTRUCTIONS: Log every formal solicitation (ask). Record the date, method, amount asked, response, actual gift, and follow-up plan. Use the Response column to track where each ask stands. Update as outcomes become known.</t>
  </si>
  <si>
    <t xml:space="preserve">Ask Date</t>
  </si>
  <si>
    <t xml:space="preserve">Solicitation
Method</t>
  </si>
  <si>
    <t xml:space="preserve">Amount Asked ($)</t>
  </si>
  <si>
    <t xml:space="preserve">Gift Purpose /
Program</t>
  </si>
  <si>
    <t xml:space="preserve">Response</t>
  </si>
  <si>
    <t xml:space="preserve">Actual Gift
Received ($)</t>
  </si>
  <si>
    <t xml:space="preserve">Follow-Up
Deadline</t>
  </si>
  <si>
    <t xml:space="preserve">Next Steps / Notes</t>
  </si>
  <si>
    <t xml:space="preserve">SUMMARY (auto-calculated from rows below)</t>
  </si>
  <si>
    <t xml:space="preserve">Total Asks Made:</t>
  </si>
  <si>
    <t xml:space="preserve">Total Pledged / Received ($):</t>
  </si>
  <si>
    <t xml:space="preserve">Success Rate:</t>
  </si>
  <si>
    <t xml:space="preserve">Avg. Gift Received ($):</t>
  </si>
  <si>
    <t xml:space="preserve">Asks Pending Response:</t>
  </si>
  <si>
    <t xml:space="preserve">04/12/2026</t>
  </si>
  <si>
    <t xml:space="preserve">Face-to-Face</t>
  </si>
  <si>
    <t xml:space="preserve">Named Scholarship</t>
  </si>
  <si>
    <t xml:space="preserve">Thinking It Over</t>
  </si>
  <si>
    <t xml:space="preserve">Meeting with spouse on 4/25. Follow up 4/28 with named gift proposal.</t>
  </si>
  <si>
    <t xml:space="preserve">Pending</t>
  </si>
  <si>
    <t xml:space="preserve">06/05/2026</t>
  </si>
  <si>
    <t xml:space="preserve">Asked at cultivation dinner. Awaiting response.</t>
  </si>
  <si>
    <t xml:space="preserve">03/05/2026</t>
  </si>
  <si>
    <t xml:space="preserve">Phone</t>
  </si>
  <si>
    <t xml:space="preserve">Yes - Gift Received</t>
  </si>
  <si>
    <t xml:space="preserve">Accepted at lower amount ($10K). Send acknowledgment and tour invite.</t>
  </si>
  <si>
    <t xml:space="preserve">No - Declined (this cycle)</t>
  </si>
  <si>
    <t xml:space="preserve">11/01/2026</t>
  </si>
  <si>
    <t xml:space="preserve">Said 'not this year.' Re-solicit in fall. Continue stewardship.</t>
  </si>
  <si>
    <t xml:space="preserve">RESPONSE OPTIONS REFERENCE</t>
  </si>
  <si>
    <t xml:space="preserve">Donor committed and gift has been received. Begin immediate stewardship.</t>
  </si>
  <si>
    <t xml:space="preserve">Pledge Received</t>
  </si>
  <si>
    <t xml:space="preserve">Donor committed to a pledge payable over time. Document pledge schedule.</t>
  </si>
  <si>
    <t xml:space="preserve">Donor needs more time. Agree on specific follow-up date. Ask what would help.</t>
  </si>
  <si>
    <t xml:space="preserve">Ask made; awaiting initial response. Follow up within agreed timeframe.</t>
  </si>
  <si>
    <t xml:space="preserve">Declined this ask. Note reason if known. Continue stewardship; re-solicit in 12 months.</t>
  </si>
  <si>
    <t xml:space="preserve">DONOR STEWARDSHIP CALENDAR — ANNUAL TOUCHPOINT PLAN</t>
  </si>
  <si>
    <t xml:space="preserve">Module 2: Individual Giving &amp; Donor Relations  |  Plan 7–10 meaningful touchpoints per major donor per year</t>
  </si>
  <si>
    <t xml:space="preserve">ℹ  INSTRUCTIONS: List each donor in column A. For each month, enter the planned touchpoint type (or 'Done ✓' when completed). Aim for 7–10 meaningful touches per year for major donors. Use the Touchpoint Key below.</t>
  </si>
  <si>
    <t xml:space="preserve">Donor Name</t>
  </si>
  <si>
    <t xml:space="preserve">Level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</si>
  <si>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</si>
  <si>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</si>
  <si>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</si>
  <si>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</si>
  <si>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</si>
  <si>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</si>
  <si>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</si>
  <si>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</si>
  <si>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</si>
  <si>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</si>
  <si>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</si>
  <si>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</si>
  <si>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Notes / Stewardship Priority</t>
  </si>
  <si>
    <t xml:space="preserve">Major</t>
  </si>
  <si>
    <t xml:space="preserve">Thank-You
Call</t>
  </si>
  <si>
    <t xml:space="preserve">Impact
Update</t>
  </si>
  <si>
    <t xml:space="preserve">Event
Invite</t>
  </si>
  <si>
    <t xml:space="preserve">Mid-Year
Report</t>
  </si>
  <si>
    <t xml:space="preserve">Personal
Note</t>
  </si>
  <si>
    <t xml:space="preserve">Annual
Report</t>
  </si>
  <si>
    <t xml:space="preserve">Renewal
Cultivation</t>
  </si>
  <si>
    <t xml:space="preserve">Renewal
Solicitation</t>
  </si>
  <si>
    <t xml:space="preserve">Named scholarship ask in progress. 7-touch minimum.</t>
  </si>
  <si>
    <t xml:space="preserve">Discovery
Mtg</t>
  </si>
  <si>
    <t xml:space="preserve">Site
Visit</t>
  </si>
  <si>
    <t xml:space="preserve">Board
Breakfast</t>
  </si>
  <si>
    <t xml:space="preserve">Solicitation</t>
  </si>
  <si>
    <t xml:space="preserve">Active cultivation. Target: $25K ask in May.</t>
  </si>
  <si>
    <t xml:space="preserve">Mid-Level</t>
  </si>
  <si>
    <t xml:space="preserve">First gift received March 2026.</t>
  </si>
  <si>
    <t xml:space="preserve">Discovery
Lunch</t>
  </si>
  <si>
    <t xml:space="preserve">Cultivation
Call</t>
  </si>
  <si>
    <t xml:space="preserve">Solicitation?</t>
  </si>
  <si>
    <t xml:space="preserve">Long-time volunteer; moving toward first major ask.</t>
  </si>
  <si>
    <t xml:space="preserve">Annual</t>
  </si>
  <si>
    <t xml:space="preserve">Re-engage
Call</t>
  </si>
  <si>
    <t xml:space="preserve">Impact
Report</t>
  </si>
  <si>
    <t xml:space="preserve">Phone
Check-In</t>
  </si>
  <si>
    <t xml:space="preserve">Lapsed donor; reactivation underway.</t>
  </si>
  <si>
    <t xml:space="preserve">Susan Park</t>
  </si>
  <si>
    <t xml:space="preserve">Thank-You
Letter</t>
  </si>
  <si>
    <t xml:space="preserve">Phone
Call</t>
  </si>
  <si>
    <t xml:space="preserve">Steady annual fund donor; upgrade potential.</t>
  </si>
  <si>
    <t xml:space="preserve">Michael &amp; Linda Torres</t>
  </si>
  <si>
    <t xml:space="preserve">Board
Lunch</t>
  </si>
  <si>
    <t xml:space="preserve">ED relationship. 10-touch plan.</t>
  </si>
  <si>
    <t xml:space="preserve">Community Trust Fund</t>
  </si>
  <si>
    <t xml:space="preserve">Grant
Report</t>
  </si>
  <si>
    <t xml:space="preserve">Mid-Year
Update</t>
  </si>
  <si>
    <t xml:space="preserve">Renewal
Convo</t>
  </si>
  <si>
    <t xml:space="preserve">Grant
Renewal</t>
  </si>
  <si>
    <t xml:space="preserve">Institutional donor; coordinate with grants staff.</t>
  </si>
  <si>
    <t xml:space="preserve">TOUCHPOINT TYPE KEY  (enter these abbreviations in the monthly cells above)</t>
  </si>
  <si>
    <t xml:space="preserve">Thank-You Call</t>
  </si>
  <si>
    <t xml:space="preserve">Personal phone call to thank donor; use within 48 hrs of gift</t>
  </si>
  <si>
    <t xml:space="preserve">Mid-Year Report</t>
  </si>
  <si>
    <t xml:space="preserve">Mid-year impact summary showing gift at work</t>
  </si>
  <si>
    <t xml:space="preserve">Thank-You Letter</t>
  </si>
  <si>
    <t xml:space="preserve">Formal written acknowledgment (IRS-compliant)</t>
  </si>
  <si>
    <t xml:space="preserve">Annual Report</t>
  </si>
  <si>
    <t xml:space="preserve">Full annual report or personalized impact summary</t>
  </si>
  <si>
    <t xml:space="preserve">Personalized story or outcome report tied to their gift</t>
  </si>
  <si>
    <t xml:space="preserve">Brief relationship call — no ask, just connection</t>
  </si>
  <si>
    <t xml:space="preserve">Event Invite</t>
  </si>
  <si>
    <t xml:space="preserve">Invite to a cultivation event, program event, or tour</t>
  </si>
  <si>
    <t xml:space="preserve">Personal Note</t>
  </si>
  <si>
    <t xml:space="preserve">Handwritten card or personal email after a milestone</t>
  </si>
  <si>
    <t xml:space="preserve">Board Lunch/Call</t>
  </si>
  <si>
    <t xml:space="preserve">Personal outreach from a board member</t>
  </si>
  <si>
    <t xml:space="preserve">Renewal Cultivation</t>
  </si>
  <si>
    <t xml:space="preserve">Dedicated touchpoint ahead of renewal ask</t>
  </si>
  <si>
    <t xml:space="preserve">Site Visit</t>
  </si>
  <si>
    <t xml:space="preserve">In-person program tour with staff or beneficiaries</t>
  </si>
  <si>
    <t xml:space="preserve">Formal gift ask — face-to-face, phone, or written proposal</t>
  </si>
  <si>
    <t xml:space="preserve">DONOR RETENTION ANALYSIS</t>
  </si>
  <si>
    <t xml:space="preserve">Module 2: Individual Giving &amp; Donor Relations  |  Track retention, upgrade rates, and giving trends year over year</t>
  </si>
  <si>
    <t xml:space="preserve">ℹ  INSTRUCTIONS: Enter data for each fiscal year. All metrics below are calculated automatically. Benchmark: sector average retention is 43–45%. First-time donor retention averages ~18–25%. Target 50%+ overall and 30%+ first-time.</t>
  </si>
  <si>
    <t xml:space="preserve">METRIC</t>
  </si>
  <si>
    <t xml:space="preserve">FY 2022</t>
  </si>
  <si>
    <t xml:space="preserve">FY 2023</t>
  </si>
  <si>
    <t xml:space="preserve">FY 2024</t>
  </si>
  <si>
    <t xml:space="preserve">FY 2025</t>
  </si>
  <si>
    <t xml:space="preserve">FY 2026 (Proj)</t>
  </si>
  <si>
    <t xml:space="preserve">Benchmark / Notes</t>
  </si>
  <si>
    <t xml:space="preserve">INPUT DATA</t>
  </si>
  <si>
    <t xml:space="preserve">Total Donors (prior year)</t>
  </si>
  <si>
    <t xml:space="preserve">Enter: # unique donors who gave last fiscal year</t>
  </si>
  <si>
    <t xml:space="preserve">Total Donors (current year)</t>
  </si>
  <si>
    <t xml:space="preserve">Enter: # unique donors who gave this fiscal year</t>
  </si>
  <si>
    <t xml:space="preserve">Retained Donors (gave both years)</t>
  </si>
  <si>
    <t xml:space="preserve">Enter: # donors who gave in BOTH prior and current year</t>
  </si>
  <si>
    <t xml:space="preserve">New Donors (first-time)</t>
  </si>
  <si>
    <t xml:space="preserve">Enter: # first-time donors this year</t>
  </si>
  <si>
    <t xml:space="preserve">First-Time Donors (prior year)</t>
  </si>
  <si>
    <t xml:space="preserve">Enter: # first-time donors from LAST year</t>
  </si>
  <si>
    <t xml:space="preserve">Retained First-Time Donors</t>
  </si>
  <si>
    <t xml:space="preserve">Enter: # of prior year first-timers who gave again this year</t>
  </si>
  <si>
    <t xml:space="preserve">Upgraded Donors</t>
  </si>
  <si>
    <t xml:space="preserve">Enter: # donors who increased gift vs. prior year</t>
  </si>
  <si>
    <t xml:space="preserve">Lapsed Donors</t>
  </si>
  <si>
    <t xml:space="preserve">Enter: # donors from prior year who did NOT give this year</t>
  </si>
  <si>
    <t xml:space="preserve">Enter: total revenue from individual donors</t>
  </si>
  <si>
    <t xml:space="preserve">CALCULATED METRICS</t>
  </si>
  <si>
    <t xml:space="preserve">Overall Retention Rate</t>
  </si>
  <si>
    <t xml:space="preserve">Sector avg: 43–45%. Target: 50%+</t>
  </si>
  <si>
    <t xml:space="preserve">First-Time Donor Retention Rate</t>
  </si>
  <si>
    <t xml:space="preserve">Sector avg: 18–25%. Target: 30%+</t>
  </si>
  <si>
    <t xml:space="preserve">Target: 25%+. Higher = better stewardship.</t>
  </si>
  <si>
    <t xml:space="preserve">Lapse Rate</t>
  </si>
  <si>
    <t xml:space="preserve">Target: &lt;50%. Lower = better retention.</t>
  </si>
  <si>
    <t xml:space="preserve">New Donor Acquisition</t>
  </si>
  <si>
    <t xml:space="preserve">Compare vs. lapsed donors to assess net growth.</t>
  </si>
  <si>
    <t xml:space="preserve">Net Donor Growth</t>
  </si>
  <si>
    <t xml:space="preserve">Positive = growing donor base.</t>
  </si>
  <si>
    <t xml:space="preserve">Avg. Gift per Donor ($)</t>
  </si>
  <si>
    <t xml:space="preserve">Track trend: increasing = healthy upgrade culture.</t>
  </si>
  <si>
    <t xml:space="preserve">📊 RETENTION INSIGHT</t>
  </si>
  <si>
    <t xml:space="preserve">• Increasing retention by just 10 percentage points can increase 5-year revenue by 50%+ without acquiring any new donors.</t>
  </si>
  <si>
    <t xml:space="preserve">• If your lapse rate &gt; 60%, prioritize stewardship improvements over acquisition campaigns.</t>
  </si>
  <si>
    <t xml:space="preserve">• First-time donor retention below 25% signals a critical stewardship gap — invest in a 48-hour thank-you protocol immediately.</t>
  </si>
  <si>
    <t xml:space="preserve">• A positive net donor growth rate means you're acquiring donors faster than you're losing them — the foundation of a growing program.</t>
  </si>
  <si>
    <t xml:space="preserve">• Track upgrade rate separately from retention — it measures whether your stewardship is deepening relationships, not just maintaining them.</t>
  </si>
  <si>
    <t xml:space="preserve">LAPSED DONOR RE-ENGAGEMENT TRACKER</t>
  </si>
  <si>
    <t xml:space="preserve">Module 2: Individual Giving &amp; Donor Relations  |  Re-engaging lapsed donors is more cost-effective than acquiring new ones</t>
  </si>
  <si>
    <t xml:space="preserve">ℹ  INSTRUCTIONS: List every donor who has not given in 12+ months. Prioritize by Recency (how long lapsed) and Total Lifetime Giving. Personal re-engagement outperforms mass email — assign a staff or board member to each top lapsed donor.</t>
  </si>
  <si>
    <t xml:space="preserve">Last Gift
Date</t>
  </si>
  <si>
    <t xml:space="preserve">Last Gift
Amount ($)</t>
  </si>
  <si>
    <t xml:space="preserve">Total Lifetime
Giving ($)</t>
  </si>
  <si>
    <t xml:space="preserve">Lapse Reason
(if known)</t>
  </si>
  <si>
    <t xml:space="preserve">Re-engagement
Method</t>
  </si>
  <si>
    <t xml:space="preserve">Re-engagement
Date</t>
  </si>
  <si>
    <t xml:space="preserve">Outcome</t>
  </si>
  <si>
    <t xml:space="preserve">11/15/2024</t>
  </si>
  <si>
    <t xml:space="preserve">Personal financial difficulty</t>
  </si>
  <si>
    <t xml:space="preserve">Phone Call</t>
  </si>
  <si>
    <t xml:space="preserve">Positive — continuing stewardship</t>
  </si>
  <si>
    <t xml:space="preserve">Shared impact. Will re-solicit in fall 2026.</t>
  </si>
  <si>
    <t xml:space="preserve">Linda Park</t>
  </si>
  <si>
    <t xml:space="preserve">03/20/2023</t>
  </si>
  <si>
    <t xml:space="preserve">Never received thank-you after last gift</t>
  </si>
  <si>
    <t xml:space="preserve">Personalized Letter + Call</t>
  </si>
  <si>
    <t xml:space="preserve">No response yet</t>
  </si>
  <si>
    <t xml:space="preserve">Left voicemail. Send impact report with handwritten note.</t>
  </si>
  <si>
    <t xml:space="preserve">Frank Williams</t>
  </si>
  <si>
    <t xml:space="preserve">06/01/2022</t>
  </si>
  <si>
    <t xml:space="preserve">Unknown — contact lost</t>
  </si>
  <si>
    <t xml:space="preserve">Board Member Call</t>
  </si>
  <si>
    <t xml:space="preserve">Reconnected — interested</t>
  </si>
  <si>
    <t xml:space="preserve">Board member lunch set for May 20. Strong renewal potential.</t>
  </si>
  <si>
    <t xml:space="preserve">Angela &amp; Thomas Reed</t>
  </si>
  <si>
    <t xml:space="preserve">09/15/2023</t>
  </si>
  <si>
    <t xml:space="preserve">Unsure of impact of giving</t>
  </si>
  <si>
    <t xml:space="preserve">Impact Report + Letter</t>
  </si>
  <si>
    <t xml:space="preserve">Not yet contacted</t>
  </si>
  <si>
    <t xml:space="preserve">Send personalized impact story tied to their original gift purpose.</t>
  </si>
  <si>
    <t xml:space="preserve">Carlos Mendez</t>
  </si>
  <si>
    <t xml:space="preserve">12/31/2023</t>
  </si>
  <si>
    <t xml:space="preserve">Solicited too frequently</t>
  </si>
  <si>
    <t xml:space="preserve">Warm — open to reconnection</t>
  </si>
  <si>
    <t xml:space="preserve">Sent note. Follow up with invitation to spring event.</t>
  </si>
  <si>
    <t xml:space="preserve">RE-ENGAGEMENT STRATEGY GUIDE</t>
  </si>
  <si>
    <t xml:space="preserve">Lapse &lt; 18 Months</t>
  </si>
  <si>
    <t xml:space="preserve">High priority. Personal phone call or handwritten note. Acknowledge the gap humbly. Share a specific story of impact. Invite them back without pressure.</t>
  </si>
  <si>
    <t xml:space="preserve">Lapse 18–36 Months</t>
  </si>
  <si>
    <t xml:space="preserve">Medium priority. Personalized letter + impact report. Follow up with a phone call. Share what has changed and what their past giving made possible.</t>
  </si>
  <si>
    <t xml:space="preserve">Lapse 36+ Months</t>
  </si>
  <si>
    <t xml:space="preserve">Lower priority for major investment, but worth a brief outreach. A mass reactivation email or personal note for high-value lapsed donors. Remove if no response after 2 attempts.</t>
  </si>
  <si>
    <t xml:space="preserve">Never Thanked Properly</t>
  </si>
  <si>
    <t xml:space="preserve">Highest priority — acknowledge the failure, apologize, and re-engage with a specific impact story. This is the most recoverable lapse reason.</t>
  </si>
  <si>
    <t xml:space="preserve">Over-Solicited</t>
  </si>
  <si>
    <t xml:space="preserve">Back off! Send a low-ask or no-ask communication first. Re-establish trust before any financial request.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</si>
</sst>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$#,##0;&quot;($&quot;#,##0\);\-"/>
    <numFmt numFmtId="167" formatCode="#,##0"/>
    <numFmt numFmtId="168" formatCode="#,##0;\(#,##0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92400E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9"/>
      <color rgb="FF059669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A5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7C3AED"/>
      <name val="Arial"/>
      <family val="0"/>
      <charset val="1"/>
    </font>
    <font>
      <sz val="9"/>
      <color rgb="FF1F3A5F"/>
      <name val="Arial"/>
      <family val="0"/>
      <charset val="1"/>
    </font>
    <font>
      <b val="true"/>
      <sz val="9"/>
      <color rgb="FF0D7377"/>
      <name val="Arial"/>
      <family val="0"/>
      <charset val="1"/>
    </font>
    <font>
      <b val="true"/>
      <sz val="10"/>
      <color rgb="FF0D7377"/>
      <name val="Arial"/>
      <family val="0"/>
      <charset val="1"/>
    </font>
    <font>
      <sz val="8"/>
      <color rgb="FF0D7377"/>
      <name val="Arial"/>
      <family val="0"/>
      <charset val="1"/>
    </font>
    <font>
      <sz val="10"/>
      <color rgb="FF0000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9922A"/>
        <bgColor rgb="FFD97706"/>
      </patternFill>
    </fill>
    <fill>
      <patternFill patternType="solid">
        <fgColor rgb="FFFEF3C7"/>
        <bgColor rgb="FFFEE2E2"/>
      </patternFill>
    </fill>
    <fill>
      <patternFill patternType="solid">
        <fgColor rgb="FF0D7377"/>
        <bgColor rgb="FF059669"/>
      </patternFill>
    </fill>
    <fill>
      <patternFill patternType="solid">
        <fgColor rgb="FFF0F4F8"/>
        <bgColor rgb="FFEDE9FE"/>
      </patternFill>
    </fill>
    <fill>
      <patternFill patternType="solid">
        <fgColor rgb="FFFFFFFF"/>
        <bgColor rgb="FFF0F4F8"/>
      </patternFill>
    </fill>
    <fill>
      <patternFill patternType="solid">
        <fgColor rgb="FFE2E8F0"/>
        <bgColor rgb="FFEDE9FE"/>
      </patternFill>
    </fill>
    <fill>
      <patternFill patternType="solid">
        <fgColor rgb="FFD1FAE5"/>
        <bgColor rgb="FFE0F4F4"/>
      </patternFill>
    </fill>
    <fill>
      <patternFill patternType="solid">
        <fgColor rgb="FFFDE68A"/>
        <bgColor rgb="FFFEF3C7"/>
      </patternFill>
    </fill>
    <fill>
      <patternFill patternType="solid">
        <fgColor rgb="FFFEE2E2"/>
        <bgColor rgb="FFEDE9FE"/>
      </patternFill>
    </fill>
    <fill>
      <patternFill patternType="solid">
        <fgColor rgb="FF7C3AED"/>
        <bgColor rgb="FF993366"/>
      </patternFill>
    </fill>
    <fill>
      <patternFill patternType="solid">
        <fgColor rgb="FF059669"/>
        <bgColor rgb="FF339966"/>
      </patternFill>
    </fill>
    <fill>
      <patternFill patternType="solid">
        <fgColor rgb="FFD97706"/>
        <bgColor rgb="FFC9922A"/>
      </patternFill>
    </fill>
    <fill>
      <patternFill patternType="solid">
        <fgColor rgb="FF64748B"/>
        <bgColor rgb="FF808080"/>
      </patternFill>
    </fill>
    <fill>
      <patternFill patternType="solid">
        <fgColor rgb="FFEDE9FE"/>
        <bgColor rgb="FFE2E8F0"/>
      </patternFill>
    </fill>
    <fill>
      <patternFill patternType="solid">
        <fgColor rgb="FFE0F4F4"/>
        <bgColor rgb="FFF0F4F8"/>
      </patternFill>
    </fill>
    <fill>
      <patternFill patternType="solid">
        <fgColor rgb="FFDC2626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6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6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7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7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6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E2E8F0"/>
      <rgbColor rgb="FF808080"/>
      <rgbColor rgb="FF9999FF"/>
      <rgbColor rgb="FF7C3AED"/>
      <rgbColor rgb="FFFEF3C7"/>
      <rgbColor rgb="FFE0F4F4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F0F4F8"/>
      <rgbColor rgb="FFD1FAE5"/>
      <rgbColor rgb="FFFDE68A"/>
      <rgbColor rgb="FFEDE9FE"/>
      <rgbColor rgb="FFFF99CC"/>
      <rgbColor rgb="FFCC99FF"/>
      <rgbColor rgb="FFFEE2E2"/>
      <rgbColor rgb="FF3366FF"/>
      <rgbColor rgb="FF33CCCC"/>
      <rgbColor rgb="FF99CC00"/>
      <rgbColor rgb="FFFFCC00"/>
      <rgbColor rgb="FFC9922A"/>
      <rgbColor rgb="FFD97706"/>
      <rgbColor rgb="FF64748B"/>
      <rgbColor rgb="FF969696"/>
      <rgbColor rgb="FF1F3A5F"/>
      <rgbColor rgb="FF339966"/>
      <rgbColor rgb="FF003300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2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5"/>
      <c r="C5" s="5"/>
      <c r="D5" s="4" t="s">
        <v>4</v>
      </c>
      <c r="E5" s="5"/>
      <c r="F5" s="5"/>
    </row>
    <row r="6" customFormat="false" ht="15" hidden="false" customHeight="false" outlineLevel="0" collapsed="false">
      <c r="A6" s="4" t="s">
        <v>5</v>
      </c>
      <c r="B6" s="5"/>
      <c r="C6" s="5"/>
      <c r="D6" s="4" t="s">
        <v>6</v>
      </c>
      <c r="E6" s="5"/>
      <c r="F6" s="5"/>
    </row>
    <row r="7" customFormat="false" ht="9.75" hidden="false" customHeight="true" outlineLevel="0" collapsed="false"/>
    <row r="8" customFormat="false" ht="21.75" hidden="false" customHeight="true" outlineLevel="0" collapsed="false">
      <c r="A8" s="6" t="s">
        <v>7</v>
      </c>
      <c r="B8" s="6"/>
      <c r="C8" s="6"/>
      <c r="D8" s="6"/>
      <c r="E8" s="6"/>
      <c r="F8" s="6"/>
    </row>
    <row r="9" customFormat="false" ht="7.5" hidden="false" customHeight="true" outlineLevel="0" collapsed="false">
      <c r="A9" s="7" t="s">
        <v>8</v>
      </c>
      <c r="B9" s="7"/>
      <c r="C9" s="7"/>
      <c r="D9" s="7"/>
      <c r="E9" s="7"/>
      <c r="F9" s="7"/>
    </row>
    <row r="10" customFormat="false" ht="27.75" hidden="false" customHeight="true" outlineLevel="0" collapsed="false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</row>
    <row r="11" customFormat="false" ht="19.5" hidden="false" customHeight="true" outlineLevel="0" collapsed="false">
      <c r="A11" s="9" t="s">
        <v>15</v>
      </c>
      <c r="B11" s="10" t="n">
        <f aca="false">COUNTIF('Donor Pipeline'!C:C,"Identified")</f>
        <v>1</v>
      </c>
      <c r="C11" s="11" t="n">
        <f aca="false">IF(B11+B17=0,"-",B11/B17)</f>
        <v>0.2</v>
      </c>
      <c r="D11" s="12" t="n">
        <f aca="false">SUMIF('Donor Pipeline'!C:C,"Identified",'Donor Pipeline'!I:I)</f>
        <v>0</v>
      </c>
      <c r="E11" s="12" t="n">
        <f aca="false">IF(B11=0,"-",D11/B11)</f>
        <v>0</v>
      </c>
      <c r="F11" s="10" t="s">
        <v>16</v>
      </c>
    </row>
    <row r="12" customFormat="false" ht="19.5" hidden="false" customHeight="true" outlineLevel="0" collapsed="false">
      <c r="A12" s="13" t="s">
        <v>17</v>
      </c>
      <c r="B12" s="14" t="n">
        <f aca="false">COUNTIF('Donor Pipeline'!C:C,"Qualified")</f>
        <v>1</v>
      </c>
      <c r="C12" s="15" t="n">
        <f aca="false">IF(B12+B17=0,"-",B12/B17)</f>
        <v>0.2</v>
      </c>
      <c r="D12" s="16" t="n">
        <f aca="false">SUMIF('Donor Pipeline'!C:C,"Qualified",'Donor Pipeline'!I:I)</f>
        <v>0</v>
      </c>
      <c r="E12" s="16" t="n">
        <f aca="false">IF(B12=0,"-",D12/B12)</f>
        <v>0</v>
      </c>
      <c r="F12" s="14" t="s">
        <v>18</v>
      </c>
    </row>
    <row r="13" customFormat="false" ht="19.5" hidden="false" customHeight="true" outlineLevel="0" collapsed="false">
      <c r="A13" s="9" t="s">
        <v>19</v>
      </c>
      <c r="B13" s="10" t="n">
        <f aca="false">COUNTIF('Donor Pipeline'!C:C,"In Cultivation")</f>
        <v>1</v>
      </c>
      <c r="C13" s="11" t="n">
        <f aca="false">IF(B13+B17=0,"-",B13/B17)</f>
        <v>0.2</v>
      </c>
      <c r="D13" s="12" t="n">
        <f aca="false">SUMIF('Donor Pipeline'!C:C,"In Cultivation",'Donor Pipeline'!I:I)</f>
        <v>2500</v>
      </c>
      <c r="E13" s="12" t="n">
        <f aca="false">IF(B13=0,"-",D13/B13)</f>
        <v>2500</v>
      </c>
      <c r="F13" s="10" t="s">
        <v>20</v>
      </c>
    </row>
    <row r="14" customFormat="false" ht="19.5" hidden="false" customHeight="true" outlineLevel="0" collapsed="false">
      <c r="A14" s="13" t="s">
        <v>21</v>
      </c>
      <c r="B14" s="14" t="n">
        <f aca="false">COUNTIF('Donor Pipeline'!C:C,"Recently Solicited")</f>
        <v>0</v>
      </c>
      <c r="C14" s="15" t="n">
        <f aca="false">IF(B14+B17=0,"-",B14/B17)</f>
        <v>0</v>
      </c>
      <c r="D14" s="16" t="n">
        <f aca="false">SUMIF('Donor Pipeline'!C:C,"Recently Solicited",'Donor Pipeline'!I:I)</f>
        <v>0</v>
      </c>
      <c r="E14" s="16" t="str">
        <f aca="false">IF(B14=0,"-",D14/B14)</f>
        <v>-</v>
      </c>
      <c r="F14" s="14" t="s">
        <v>22</v>
      </c>
    </row>
    <row r="15" customFormat="false" ht="19.5" hidden="false" customHeight="true" outlineLevel="0" collapsed="false">
      <c r="A15" s="9" t="s">
        <v>23</v>
      </c>
      <c r="B15" s="10" t="n">
        <f aca="false">COUNTIF('Donor Pipeline'!C:C,"In Stewardship")</f>
        <v>1</v>
      </c>
      <c r="C15" s="11" t="n">
        <f aca="false">IF(B15+B17=0,"-",B15/B17)</f>
        <v>0.2</v>
      </c>
      <c r="D15" s="12" t="n">
        <f aca="false">SUMIF('Donor Pipeline'!C:C,"In Stewardship",'Donor Pipeline'!I:I)</f>
        <v>10000</v>
      </c>
      <c r="E15" s="12" t="n">
        <f aca="false">IF(B15=0,"-",D15/B15)</f>
        <v>10000</v>
      </c>
      <c r="F15" s="10" t="s">
        <v>24</v>
      </c>
    </row>
    <row r="16" customFormat="false" ht="19.5" hidden="false" customHeight="true" outlineLevel="0" collapsed="false">
      <c r="A16" s="13" t="s">
        <v>25</v>
      </c>
      <c r="B16" s="14" t="n">
        <f aca="false">COUNTIF('Donor Pipeline'!C:C,"Lapsed")</f>
        <v>1</v>
      </c>
      <c r="C16" s="15" t="n">
        <f aca="false">IF(B16+B17=0,"-",B16/B17)</f>
        <v>0.2</v>
      </c>
      <c r="D16" s="16" t="n">
        <f aca="false">SUMIF('Donor Pipeline'!C:C,"Lapsed",'Donor Pipeline'!I:I)</f>
        <v>1000</v>
      </c>
      <c r="E16" s="16" t="n">
        <f aca="false">IF(B16=0,"-",D16/B16)</f>
        <v>1000</v>
      </c>
      <c r="F16" s="14" t="s">
        <v>26</v>
      </c>
    </row>
    <row r="17" customFormat="false" ht="21.75" hidden="false" customHeight="true" outlineLevel="0" collapsed="false">
      <c r="A17" s="17" t="s">
        <v>27</v>
      </c>
      <c r="B17" s="18" t="n">
        <f aca="false">SUM(B11:B16)</f>
        <v>5</v>
      </c>
      <c r="C17" s="18" t="s">
        <v>28</v>
      </c>
      <c r="D17" s="19" t="n">
        <f aca="false">SUM(D11:D16)</f>
        <v>13500</v>
      </c>
      <c r="E17" s="19" t="n">
        <f aca="false">IF(B17=0,"-",D17/B17)</f>
        <v>2700</v>
      </c>
      <c r="F17" s="20"/>
    </row>
    <row r="18" customFormat="false" ht="9.75" hidden="false" customHeight="true" outlineLevel="0" collapsed="false"/>
    <row r="19" customFormat="false" ht="21.75" hidden="false" customHeight="true" outlineLevel="0" collapsed="false">
      <c r="A19" s="6" t="s">
        <v>29</v>
      </c>
      <c r="B19" s="6"/>
      <c r="C19" s="6"/>
      <c r="D19" s="6"/>
      <c r="E19" s="6"/>
      <c r="F19" s="6"/>
    </row>
    <row r="20" customFormat="false" ht="24" hidden="false" customHeight="true" outlineLevel="0" collapsed="false">
      <c r="A20" s="8" t="s">
        <v>30</v>
      </c>
      <c r="B20" s="8" t="s">
        <v>31</v>
      </c>
      <c r="C20" s="8" t="s">
        <v>32</v>
      </c>
      <c r="D20" s="8" t="s">
        <v>33</v>
      </c>
      <c r="E20" s="8" t="s">
        <v>34</v>
      </c>
      <c r="F20" s="8"/>
    </row>
    <row r="21" customFormat="false" ht="19.5" hidden="false" customHeight="true" outlineLevel="0" collapsed="false">
      <c r="A21" s="9" t="s">
        <v>35</v>
      </c>
      <c r="B21" s="10"/>
      <c r="C21" s="21" t="s">
        <v>36</v>
      </c>
      <c r="D21" s="10"/>
      <c r="E21" s="21" t="s">
        <v>37</v>
      </c>
      <c r="F21" s="10"/>
    </row>
    <row r="22" customFormat="false" ht="19.5" hidden="false" customHeight="true" outlineLevel="0" collapsed="false">
      <c r="A22" s="13" t="s">
        <v>38</v>
      </c>
      <c r="B22" s="14"/>
      <c r="C22" s="22" t="s">
        <v>39</v>
      </c>
      <c r="D22" s="14"/>
      <c r="E22" s="22" t="s">
        <v>40</v>
      </c>
      <c r="F22" s="14"/>
    </row>
    <row r="23" customFormat="false" ht="19.5" hidden="false" customHeight="true" outlineLevel="0" collapsed="false">
      <c r="A23" s="9" t="s">
        <v>41</v>
      </c>
      <c r="B23" s="10"/>
      <c r="C23" s="21" t="s">
        <v>42</v>
      </c>
      <c r="D23" s="10"/>
      <c r="E23" s="21" t="s">
        <v>43</v>
      </c>
      <c r="F23" s="10"/>
    </row>
    <row r="24" customFormat="false" ht="19.5" hidden="false" customHeight="true" outlineLevel="0" collapsed="false">
      <c r="A24" s="13" t="s">
        <v>44</v>
      </c>
      <c r="B24" s="14"/>
      <c r="C24" s="22" t="s">
        <v>45</v>
      </c>
      <c r="D24" s="14"/>
      <c r="E24" s="22" t="s">
        <v>46</v>
      </c>
      <c r="F24" s="14"/>
    </row>
    <row r="25" customFormat="false" ht="19.5" hidden="false" customHeight="true" outlineLevel="0" collapsed="false">
      <c r="A25" s="9" t="s">
        <v>47</v>
      </c>
      <c r="B25" s="10"/>
      <c r="C25" s="21"/>
      <c r="D25" s="10"/>
      <c r="E25" s="21" t="s">
        <v>48</v>
      </c>
      <c r="F25" s="10"/>
    </row>
    <row r="26" customFormat="false" ht="19.5" hidden="false" customHeight="true" outlineLevel="0" collapsed="false">
      <c r="A26" s="13" t="s">
        <v>49</v>
      </c>
      <c r="B26" s="14"/>
      <c r="C26" s="22"/>
      <c r="D26" s="14"/>
      <c r="E26" s="22" t="s">
        <v>50</v>
      </c>
      <c r="F26" s="14"/>
    </row>
    <row r="27" customFormat="false" ht="19.5" hidden="false" customHeight="true" outlineLevel="0" collapsed="false">
      <c r="A27" s="9" t="s">
        <v>51</v>
      </c>
      <c r="B27" s="10" t="n">
        <f aca="false">COUNTIF('Donor Pipeline'!C:C,"In Cultivation")</f>
        <v>1</v>
      </c>
      <c r="C27" s="21" t="s">
        <v>52</v>
      </c>
      <c r="D27" s="10"/>
      <c r="E27" s="21" t="s">
        <v>53</v>
      </c>
      <c r="F27" s="10"/>
    </row>
    <row r="28" customFormat="false" ht="19.5" hidden="false" customHeight="true" outlineLevel="0" collapsed="false">
      <c r="A28" s="13" t="s">
        <v>54</v>
      </c>
      <c r="B28" s="14"/>
      <c r="C28" s="22" t="s">
        <v>55</v>
      </c>
      <c r="D28" s="14"/>
      <c r="E28" s="22" t="s">
        <v>56</v>
      </c>
      <c r="F28" s="14"/>
    </row>
    <row r="29" customFormat="false" ht="9.75" hidden="false" customHeight="true" outlineLevel="0" collapsed="false"/>
    <row r="30" customFormat="false" ht="15" hidden="false" customHeight="false" outlineLevel="0" collapsed="false">
      <c r="A30" s="23" t="s">
        <v>57</v>
      </c>
      <c r="B30" s="23"/>
      <c r="C30" s="23"/>
      <c r="D30" s="23"/>
      <c r="E30" s="23"/>
      <c r="F30" s="23"/>
    </row>
    <row r="31" customFormat="false" ht="21.75" hidden="false" customHeight="true" outlineLevel="0" collapsed="false">
      <c r="A31" s="24" t="s">
        <v>58</v>
      </c>
      <c r="B31" s="25" t="s">
        <v>59</v>
      </c>
      <c r="C31" s="26" t="s">
        <v>60</v>
      </c>
      <c r="D31" s="27" t="s">
        <v>61</v>
      </c>
    </row>
    <row r="32" customFormat="false" ht="9.75" hidden="false" customHeight="true" outlineLevel="0" collapsed="false"/>
    <row r="33" customFormat="false" ht="27.75" hidden="false" customHeight="true" outlineLevel="0" collapsed="false">
      <c r="A33" s="7" t="s">
        <v>62</v>
      </c>
      <c r="B33" s="7"/>
      <c r="C33" s="7"/>
      <c r="D33" s="7"/>
      <c r="E33" s="7"/>
      <c r="F33" s="7"/>
    </row>
  </sheetData>
  <mergeCells count="12">
    <mergeCell ref="A1:F1"/>
    <mergeCell ref="A2:F2"/>
    <mergeCell ref="A4:F4"/>
    <mergeCell ref="B5:C5"/>
    <mergeCell ref="E5:F5"/>
    <mergeCell ref="B6:C6"/>
    <mergeCell ref="E6:F6"/>
    <mergeCell ref="A8:F8"/>
    <mergeCell ref="A9:F9"/>
    <mergeCell ref="A19:F19"/>
    <mergeCell ref="A30:F30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6" min="4" style="0" width="8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10" min="9" style="0" width="14"/>
    <col collapsed="false" customWidth="true" hidden="false" outlineLevel="0" max="12" min="11" style="0" width="18"/>
    <col collapsed="false" customWidth="true" hidden="false" outlineLevel="0" max="13" min="13" style="0" width="20"/>
    <col collapsed="false" customWidth="true" hidden="false" outlineLevel="0" max="14" min="14" style="0" width="26"/>
  </cols>
  <sheetData>
    <row r="1" customFormat="false" ht="33.75" hidden="false" customHeight="true" outlineLevel="0" collapsed="false">
      <c r="A1" s="28" t="s">
        <v>63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customFormat="false" ht="19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0" hidden="false" customHeight="true" outlineLevel="0" collapsed="false">
      <c r="A3" s="7" t="s">
        <v>65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customFormat="false" ht="19.5" hidden="false" customHeight="true" outlineLevel="0" collapsed="false">
      <c r="A4" s="29" t="s">
        <v>66</v>
      </c>
      <c r="B4" s="29"/>
      <c r="C4" s="30" t="s">
        <v>67</v>
      </c>
      <c r="D4" s="30"/>
      <c r="E4" s="30"/>
      <c r="F4" s="30"/>
      <c r="G4" s="31" t="s">
        <v>68</v>
      </c>
      <c r="H4" s="31"/>
      <c r="I4" s="31"/>
      <c r="J4" s="31"/>
      <c r="K4" s="32" t="s">
        <v>69</v>
      </c>
      <c r="L4" s="32"/>
      <c r="M4" s="33" t="s">
        <v>70</v>
      </c>
      <c r="N4" s="33"/>
    </row>
    <row r="5" customFormat="false" ht="36" hidden="false" customHeight="true" outlineLevel="0" collapsed="false">
      <c r="A5" s="34" t="s">
        <v>71</v>
      </c>
      <c r="B5" s="34" t="s">
        <v>72</v>
      </c>
      <c r="C5" s="34" t="s">
        <v>9</v>
      </c>
      <c r="D5" s="34" t="s">
        <v>73</v>
      </c>
      <c r="E5" s="34" t="s">
        <v>74</v>
      </c>
      <c r="F5" s="34" t="s">
        <v>75</v>
      </c>
      <c r="G5" s="34" t="s">
        <v>76</v>
      </c>
      <c r="H5" s="34" t="s">
        <v>77</v>
      </c>
      <c r="I5" s="34" t="s">
        <v>78</v>
      </c>
      <c r="J5" s="34" t="s">
        <v>79</v>
      </c>
      <c r="K5" s="34" t="s">
        <v>80</v>
      </c>
      <c r="L5" s="34" t="s">
        <v>81</v>
      </c>
      <c r="M5" s="34" t="s">
        <v>82</v>
      </c>
      <c r="N5" s="34" t="s">
        <v>83</v>
      </c>
    </row>
    <row r="6" customFormat="false" ht="30" hidden="false" customHeight="true" outlineLevel="0" collapsed="false">
      <c r="A6" s="35" t="n">
        <v>1</v>
      </c>
      <c r="B6" s="36" t="s">
        <v>84</v>
      </c>
      <c r="C6" s="37" t="s">
        <v>19</v>
      </c>
      <c r="D6" s="24" t="s">
        <v>85</v>
      </c>
      <c r="E6" s="24" t="s">
        <v>85</v>
      </c>
      <c r="F6" s="24" t="s">
        <v>85</v>
      </c>
      <c r="G6" s="38" t="n">
        <v>25000</v>
      </c>
      <c r="H6" s="36" t="s">
        <v>86</v>
      </c>
      <c r="I6" s="38" t="n">
        <v>2500</v>
      </c>
      <c r="J6" s="38" t="n">
        <v>7500</v>
      </c>
      <c r="K6" s="39" t="s">
        <v>87</v>
      </c>
      <c r="L6" s="39" t="s">
        <v>88</v>
      </c>
      <c r="M6" s="36" t="s">
        <v>89</v>
      </c>
      <c r="N6" s="36" t="s">
        <v>90</v>
      </c>
    </row>
    <row r="7" customFormat="false" ht="30" hidden="false" customHeight="true" outlineLevel="0" collapsed="false">
      <c r="A7" s="40" t="n">
        <v>2</v>
      </c>
      <c r="B7" s="41" t="s">
        <v>91</v>
      </c>
      <c r="C7" s="24" t="s">
        <v>23</v>
      </c>
      <c r="D7" s="24" t="s">
        <v>85</v>
      </c>
      <c r="E7" s="25" t="s">
        <v>92</v>
      </c>
      <c r="F7" s="24" t="s">
        <v>85</v>
      </c>
      <c r="G7" s="42" t="n">
        <v>50000</v>
      </c>
      <c r="H7" s="41" t="s">
        <v>93</v>
      </c>
      <c r="I7" s="42" t="n">
        <v>10000</v>
      </c>
      <c r="J7" s="42" t="n">
        <v>28000</v>
      </c>
      <c r="K7" s="43" t="s">
        <v>94</v>
      </c>
      <c r="L7" s="43" t="s">
        <v>95</v>
      </c>
      <c r="M7" s="41" t="s">
        <v>96</v>
      </c>
      <c r="N7" s="41" t="s">
        <v>97</v>
      </c>
    </row>
    <row r="8" customFormat="false" ht="30" hidden="false" customHeight="true" outlineLevel="0" collapsed="false">
      <c r="A8" s="35" t="n">
        <v>3</v>
      </c>
      <c r="B8" s="36" t="s">
        <v>98</v>
      </c>
      <c r="C8" s="25" t="s">
        <v>17</v>
      </c>
      <c r="D8" s="25" t="s">
        <v>92</v>
      </c>
      <c r="E8" s="24" t="s">
        <v>85</v>
      </c>
      <c r="F8" s="24" t="s">
        <v>85</v>
      </c>
      <c r="G8" s="38" t="n">
        <v>5000</v>
      </c>
      <c r="H8" s="36" t="s">
        <v>99</v>
      </c>
      <c r="I8" s="38" t="n">
        <v>0</v>
      </c>
      <c r="J8" s="38" t="n">
        <v>0</v>
      </c>
      <c r="K8" s="39" t="s">
        <v>100</v>
      </c>
      <c r="L8" s="39" t="s">
        <v>101</v>
      </c>
      <c r="M8" s="36" t="s">
        <v>89</v>
      </c>
      <c r="N8" s="36" t="s">
        <v>102</v>
      </c>
    </row>
    <row r="9" customFormat="false" ht="30" hidden="false" customHeight="true" outlineLevel="0" collapsed="false">
      <c r="A9" s="40" t="n">
        <v>4</v>
      </c>
      <c r="B9" s="41" t="s">
        <v>103</v>
      </c>
      <c r="C9" s="27" t="s">
        <v>15</v>
      </c>
      <c r="D9" s="24" t="s">
        <v>85</v>
      </c>
      <c r="E9" s="26" t="s">
        <v>104</v>
      </c>
      <c r="F9" s="25" t="s">
        <v>92</v>
      </c>
      <c r="G9" s="42" t="n">
        <v>15000</v>
      </c>
      <c r="H9" s="41" t="s">
        <v>105</v>
      </c>
      <c r="I9" s="42" t="n">
        <v>0</v>
      </c>
      <c r="J9" s="42" t="n">
        <v>0</v>
      </c>
      <c r="K9" s="43"/>
      <c r="L9" s="43" t="s">
        <v>106</v>
      </c>
      <c r="M9" s="41" t="s">
        <v>107</v>
      </c>
      <c r="N9" s="41" t="s">
        <v>108</v>
      </c>
    </row>
    <row r="10" customFormat="false" ht="30" hidden="false" customHeight="true" outlineLevel="0" collapsed="false">
      <c r="A10" s="35" t="n">
        <v>5</v>
      </c>
      <c r="B10" s="36" t="s">
        <v>109</v>
      </c>
      <c r="C10" s="26" t="s">
        <v>25</v>
      </c>
      <c r="D10" s="25" t="s">
        <v>92</v>
      </c>
      <c r="E10" s="24" t="s">
        <v>85</v>
      </c>
      <c r="F10" s="24" t="s">
        <v>85</v>
      </c>
      <c r="G10" s="38" t="n">
        <v>2500</v>
      </c>
      <c r="H10" s="36" t="s">
        <v>110</v>
      </c>
      <c r="I10" s="38" t="n">
        <v>1000</v>
      </c>
      <c r="J10" s="38" t="n">
        <v>3000</v>
      </c>
      <c r="K10" s="39" t="s">
        <v>111</v>
      </c>
      <c r="L10" s="39" t="s">
        <v>88</v>
      </c>
      <c r="M10" s="36" t="s">
        <v>89</v>
      </c>
      <c r="N10" s="36" t="s">
        <v>112</v>
      </c>
    </row>
    <row r="11" customFormat="false" ht="21.75" hidden="false" customHeight="true" outlineLevel="0" collapsed="false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</row>
    <row r="12" customFormat="false" ht="21.75" hidden="false" customHeight="true" outlineLevel="0" collapsed="false">
      <c r="A12" s="39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</row>
    <row r="13" customFormat="false" ht="21.75" hidden="false" customHeight="true" outlineLevel="0" collapsed="false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</row>
    <row r="14" customFormat="false" ht="21.75" hidden="false" customHeight="true" outlineLevel="0" collapsed="false">
      <c r="A14" s="39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</row>
    <row r="15" customFormat="false" ht="21.75" hidden="false" customHeight="true" outlineLevel="0" collapsed="false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</row>
    <row r="16" customFormat="false" ht="21.75" hidden="false" customHeight="true" outlineLevel="0" collapsed="false">
      <c r="A16" s="39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</row>
    <row r="17" customFormat="false" ht="21.75" hidden="false" customHeight="true" outlineLevel="0" collapsed="false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</row>
    <row r="18" customFormat="false" ht="21.75" hidden="false" customHeight="true" outlineLevel="0" collapsed="false">
      <c r="A18" s="39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</row>
    <row r="19" customFormat="false" ht="21.75" hidden="false" customHeight="true" outlineLevel="0" collapsed="false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customFormat="false" ht="21.75" hidden="false" customHeight="true" outlineLevel="0" collapsed="false">
      <c r="A20" s="39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</row>
    <row r="21" customFormat="false" ht="21.75" hidden="false" customHeight="true" outlineLevel="0" collapsed="false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customFormat="false" ht="21.75" hidden="false" customHeight="true" outlineLevel="0" collapsed="false">
      <c r="A22" s="39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</row>
    <row r="23" customFormat="false" ht="21.75" hidden="false" customHeight="true" outlineLevel="0" collapsed="false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customFormat="false" ht="21.75" hidden="false" customHeight="true" outlineLevel="0" collapsed="false">
      <c r="A24" s="39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</row>
    <row r="25" customFormat="false" ht="21.75" hidden="false" customHeight="true" outlineLevel="0" collapsed="false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</row>
    <row r="26" customFormat="false" ht="21.75" hidden="false" customHeight="true" outlineLevel="0" collapsed="false">
      <c r="A26" s="39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</row>
    <row r="27" customFormat="false" ht="21.75" hidden="false" customHeight="true" outlineLevel="0" collapsed="false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</row>
    <row r="28" customFormat="false" ht="21.75" hidden="false" customHeight="true" outlineLevel="0" collapsed="false">
      <c r="A28" s="39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</row>
    <row r="29" customFormat="false" ht="21.75" hidden="false" customHeight="true" outlineLevel="0" collapsed="false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</row>
    <row r="30" customFormat="false" ht="21.75" hidden="false" customHeight="true" outlineLevel="0" collapsed="false">
      <c r="A30" s="39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</row>
    <row r="31" customFormat="false" ht="21.75" hidden="false" customHeight="true" outlineLevel="0" collapsed="false">
      <c r="A31" s="43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2" customFormat="false" ht="21.75" hidden="false" customHeight="true" outlineLevel="0" collapsed="false">
      <c r="A32" s="39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</row>
    <row r="33" customFormat="false" ht="21.75" hidden="false" customHeight="true" outlineLevel="0" collapsed="false">
      <c r="A33" s="43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</row>
    <row r="34" customFormat="false" ht="21.75" hidden="false" customHeight="true" outlineLevel="0" collapsed="false">
      <c r="A34" s="39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</row>
    <row r="35" customFormat="false" ht="21.75" hidden="false" customHeight="true" outlineLevel="0" collapsed="false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</row>
    <row r="36" customFormat="false" ht="21.75" hidden="false" customHeight="true" outlineLevel="0" collapsed="false">
      <c r="A36" s="39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</row>
    <row r="37" customFormat="false" ht="21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</row>
    <row r="38" customFormat="false" ht="21.75" hidden="false" customHeight="true" outlineLevel="0" collapsed="false">
      <c r="A38" s="39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</row>
    <row r="39" customFormat="false" ht="21.75" hidden="false" customHeight="true" outlineLevel="0" collapsed="false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</row>
    <row r="40" customFormat="false" ht="21.75" hidden="false" customHeight="true" outlineLevel="0" collapsed="false">
      <c r="A40" s="39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</row>
    <row r="41" customFormat="false" ht="21.75" hidden="false" customHeight="true" outlineLevel="0" collapsed="false">
      <c r="A41" s="43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</row>
    <row r="42" customFormat="false" ht="21.75" hidden="false" customHeight="true" outlineLevel="0" collapsed="false">
      <c r="A42" s="39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customFormat="false" ht="21.75" hidden="false" customHeight="true" outlineLevel="0" collapsed="false">
      <c r="A43" s="43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</row>
    <row r="44" customFormat="false" ht="21.75" hidden="false" customHeight="true" outlineLevel="0" collapsed="false">
      <c r="A44" s="39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customFormat="false" ht="21.75" hidden="false" customHeight="true" outlineLevel="0" collapsed="false">
      <c r="A45" s="43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</row>
    <row r="46" customFormat="false" ht="21.75" hidden="false" customHeight="true" outlineLevel="0" collapsed="false">
      <c r="A46" s="39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</row>
    <row r="47" customFormat="false" ht="21.75" hidden="false" customHeight="true" outlineLevel="0" collapsed="false">
      <c r="A47" s="43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</row>
    <row r="48" customFormat="false" ht="21.75" hidden="false" customHeight="true" outlineLevel="0" collapsed="false">
      <c r="A48" s="39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</row>
    <row r="49" customFormat="false" ht="21.75" hidden="false" customHeight="true" outlineLevel="0" collapsed="false">
      <c r="A49" s="43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</row>
    <row r="50" customFormat="false" ht="21.75" hidden="false" customHeight="true" outlineLevel="0" collapsed="false">
      <c r="A50" s="3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customFormat="false" ht="21.75" hidden="false" customHeight="true" outlineLevel="0" collapsed="false">
      <c r="A51" s="43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</row>
    <row r="52" customFormat="false" ht="21.75" hidden="false" customHeight="true" outlineLevel="0" collapsed="false">
      <c r="A52" s="39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customFormat="false" ht="21.75" hidden="false" customHeight="true" outlineLevel="0" collapsed="false">
      <c r="A53" s="43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</row>
    <row r="54" customFormat="false" ht="21.75" hidden="false" customHeight="true" outlineLevel="0" collapsed="false">
      <c r="A54" s="39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</row>
    <row r="55" customFormat="false" ht="21.75" hidden="false" customHeight="true" outlineLevel="0" collapsed="false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</row>
    <row r="57" customFormat="false" ht="19.5" hidden="false" customHeight="true" outlineLevel="0" collapsed="false">
      <c r="A57" s="23" t="s">
        <v>113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</row>
    <row r="58" customFormat="false" ht="18" hidden="false" customHeight="true" outlineLevel="0" collapsed="false">
      <c r="A58" s="27" t="s">
        <v>15</v>
      </c>
      <c r="B58" s="46" t="s">
        <v>114</v>
      </c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</row>
    <row r="59" customFormat="false" ht="18" hidden="false" customHeight="true" outlineLevel="0" collapsed="false">
      <c r="A59" s="25" t="s">
        <v>17</v>
      </c>
      <c r="B59" s="47" t="s">
        <v>115</v>
      </c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</row>
    <row r="60" customFormat="false" ht="18" hidden="false" customHeight="true" outlineLevel="0" collapsed="false">
      <c r="A60" s="37" t="s">
        <v>19</v>
      </c>
      <c r="B60" s="48" t="s">
        <v>116</v>
      </c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</row>
    <row r="61" customFormat="false" ht="18" hidden="false" customHeight="true" outlineLevel="0" collapsed="false">
      <c r="A61" s="49" t="s">
        <v>21</v>
      </c>
      <c r="B61" s="50" t="s">
        <v>117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</row>
    <row r="62" customFormat="false" ht="18" hidden="false" customHeight="true" outlineLevel="0" collapsed="false">
      <c r="A62" s="24" t="s">
        <v>23</v>
      </c>
      <c r="B62" s="51" t="s">
        <v>118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</row>
    <row r="63" customFormat="false" ht="18" hidden="false" customHeight="true" outlineLevel="0" collapsed="false">
      <c r="A63" s="26" t="s">
        <v>25</v>
      </c>
      <c r="B63" s="52" t="s">
        <v>119</v>
      </c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</row>
  </sheetData>
  <mergeCells count="15">
    <mergeCell ref="A1:N1"/>
    <mergeCell ref="A2:N2"/>
    <mergeCell ref="A3:N3"/>
    <mergeCell ref="A4:B4"/>
    <mergeCell ref="C4:F4"/>
    <mergeCell ref="G4:J4"/>
    <mergeCell ref="K4:L4"/>
    <mergeCell ref="M4:N4"/>
    <mergeCell ref="A57:N57"/>
    <mergeCell ref="B58:N58"/>
    <mergeCell ref="B59:N59"/>
    <mergeCell ref="B60:N60"/>
    <mergeCell ref="B61:N61"/>
    <mergeCell ref="B62:N62"/>
    <mergeCell ref="B63:N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10" min="9" style="0" width="14"/>
  </cols>
  <sheetData>
    <row r="1" customFormat="false" ht="33.75" hidden="false" customHeight="true" outlineLevel="0" collapsed="false">
      <c r="A1" s="28" t="s">
        <v>120</v>
      </c>
      <c r="B1" s="28"/>
      <c r="C1" s="28"/>
      <c r="D1" s="28"/>
      <c r="E1" s="28"/>
      <c r="F1" s="28"/>
      <c r="G1" s="28"/>
      <c r="H1" s="28"/>
      <c r="I1" s="28"/>
      <c r="J1" s="28"/>
    </row>
    <row r="2" customFormat="false" ht="19.5" hidden="false" customHeight="true" outlineLevel="0" collapsed="false">
      <c r="A2" s="53" t="s">
        <v>121</v>
      </c>
      <c r="B2" s="53"/>
      <c r="C2" s="53"/>
      <c r="D2" s="53"/>
      <c r="E2" s="53"/>
      <c r="F2" s="53"/>
      <c r="G2" s="53"/>
      <c r="H2" s="53"/>
      <c r="I2" s="53"/>
      <c r="J2" s="53"/>
    </row>
    <row r="3" customFormat="false" ht="36" hidden="false" customHeight="true" outlineLevel="0" collapsed="false">
      <c r="A3" s="7" t="s">
        <v>122</v>
      </c>
      <c r="B3" s="7"/>
      <c r="C3" s="7"/>
      <c r="D3" s="7"/>
      <c r="E3" s="7"/>
      <c r="F3" s="7"/>
      <c r="G3" s="7"/>
      <c r="H3" s="7"/>
      <c r="I3" s="7"/>
      <c r="J3" s="7"/>
    </row>
    <row r="4" customFormat="false" ht="39.75" hidden="false" customHeight="true" outlineLevel="0" collapsed="false">
      <c r="A4" s="54" t="s">
        <v>71</v>
      </c>
      <c r="B4" s="54" t="s">
        <v>72</v>
      </c>
      <c r="C4" s="54" t="s">
        <v>123</v>
      </c>
      <c r="D4" s="54" t="s">
        <v>124</v>
      </c>
      <c r="E4" s="54" t="s">
        <v>125</v>
      </c>
      <c r="F4" s="54" t="s">
        <v>126</v>
      </c>
      <c r="G4" s="54" t="s">
        <v>127</v>
      </c>
      <c r="H4" s="54" t="s">
        <v>128</v>
      </c>
      <c r="I4" s="54" t="s">
        <v>129</v>
      </c>
      <c r="J4" s="54" t="s">
        <v>130</v>
      </c>
    </row>
    <row r="5" customFormat="false" ht="51.75" hidden="false" customHeight="true" outlineLevel="0" collapsed="false">
      <c r="A5" s="35" t="n">
        <v>1</v>
      </c>
      <c r="B5" s="36" t="s">
        <v>84</v>
      </c>
      <c r="C5" s="55" t="s">
        <v>131</v>
      </c>
      <c r="D5" s="36" t="s">
        <v>132</v>
      </c>
      <c r="E5" s="36" t="s">
        <v>133</v>
      </c>
      <c r="F5" s="36" t="s">
        <v>134</v>
      </c>
      <c r="G5" s="36" t="s">
        <v>135</v>
      </c>
      <c r="H5" s="36" t="s">
        <v>136</v>
      </c>
      <c r="I5" s="36" t="s">
        <v>87</v>
      </c>
      <c r="J5" s="37" t="s">
        <v>19</v>
      </c>
    </row>
    <row r="6" customFormat="false" ht="51.75" hidden="false" customHeight="true" outlineLevel="0" collapsed="false">
      <c r="A6" s="40" t="n">
        <v>2</v>
      </c>
      <c r="B6" s="41" t="s">
        <v>84</v>
      </c>
      <c r="C6" s="56" t="s">
        <v>87</v>
      </c>
      <c r="D6" s="41" t="s">
        <v>137</v>
      </c>
      <c r="E6" s="41" t="s">
        <v>138</v>
      </c>
      <c r="F6" s="41" t="s">
        <v>139</v>
      </c>
      <c r="G6" s="41" t="s">
        <v>140</v>
      </c>
      <c r="H6" s="41" t="s">
        <v>141</v>
      </c>
      <c r="I6" s="41" t="s">
        <v>142</v>
      </c>
      <c r="J6" s="37" t="s">
        <v>19</v>
      </c>
    </row>
    <row r="7" customFormat="false" ht="51.75" hidden="false" customHeight="true" outlineLevel="0" collapsed="false">
      <c r="A7" s="35" t="n">
        <v>3</v>
      </c>
      <c r="B7" s="36" t="s">
        <v>91</v>
      </c>
      <c r="C7" s="55" t="s">
        <v>143</v>
      </c>
      <c r="D7" s="36" t="s">
        <v>144</v>
      </c>
      <c r="E7" s="36" t="s">
        <v>145</v>
      </c>
      <c r="F7" s="36" t="s">
        <v>146</v>
      </c>
      <c r="G7" s="36" t="s">
        <v>147</v>
      </c>
      <c r="H7" s="36" t="s">
        <v>148</v>
      </c>
      <c r="I7" s="36" t="s">
        <v>149</v>
      </c>
      <c r="J7" s="49" t="s">
        <v>21</v>
      </c>
    </row>
    <row r="8" customFormat="false" ht="51.75" hidden="false" customHeight="true" outlineLevel="0" collapsed="false">
      <c r="A8" s="40" t="n">
        <v>4</v>
      </c>
      <c r="B8" s="41" t="s">
        <v>98</v>
      </c>
      <c r="C8" s="56" t="s">
        <v>100</v>
      </c>
      <c r="D8" s="41" t="s">
        <v>132</v>
      </c>
      <c r="E8" s="41" t="s">
        <v>133</v>
      </c>
      <c r="F8" s="41" t="s">
        <v>150</v>
      </c>
      <c r="G8" s="41" t="s">
        <v>151</v>
      </c>
      <c r="H8" s="41" t="s">
        <v>152</v>
      </c>
      <c r="I8" s="41" t="s">
        <v>101</v>
      </c>
      <c r="J8" s="25" t="s">
        <v>17</v>
      </c>
    </row>
    <row r="9" customFormat="false" ht="51.75" hidden="false" customHeight="true" outlineLevel="0" collapsed="false">
      <c r="A9" s="35" t="n">
        <v>5</v>
      </c>
      <c r="B9" s="36" t="s">
        <v>109</v>
      </c>
      <c r="C9" s="55" t="s">
        <v>153</v>
      </c>
      <c r="D9" s="36" t="s">
        <v>154</v>
      </c>
      <c r="E9" s="36" t="s">
        <v>133</v>
      </c>
      <c r="F9" s="36" t="s">
        <v>155</v>
      </c>
      <c r="G9" s="36" t="s">
        <v>156</v>
      </c>
      <c r="H9" s="36" t="s">
        <v>157</v>
      </c>
      <c r="I9" s="36" t="s">
        <v>158</v>
      </c>
      <c r="J9" s="37" t="s">
        <v>19</v>
      </c>
    </row>
    <row r="10" customFormat="false" ht="37.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customFormat="false" ht="37.5" hidden="false" customHeight="true" outlineLevel="0" collapsed="false">
      <c r="A11" s="57"/>
      <c r="B11" s="57"/>
      <c r="C11" s="57"/>
      <c r="D11" s="57"/>
      <c r="E11" s="57"/>
      <c r="F11" s="57"/>
      <c r="G11" s="57"/>
      <c r="H11" s="57"/>
      <c r="I11" s="57"/>
      <c r="J11" s="57"/>
    </row>
    <row r="12" customFormat="false" ht="37.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customFormat="false" ht="37.5" hidden="false" customHeight="true" outlineLevel="0" collapsed="false">
      <c r="A13" s="57"/>
      <c r="B13" s="57"/>
      <c r="C13" s="57"/>
      <c r="D13" s="57"/>
      <c r="E13" s="57"/>
      <c r="F13" s="57"/>
      <c r="G13" s="57"/>
      <c r="H13" s="57"/>
      <c r="I13" s="57"/>
      <c r="J13" s="57"/>
    </row>
    <row r="14" customFormat="false" ht="37.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37.5" hidden="false" customHeight="true" outlineLevel="0" collapsed="false">
      <c r="A15" s="57"/>
      <c r="B15" s="57"/>
      <c r="C15" s="57"/>
      <c r="D15" s="57"/>
      <c r="E15" s="57"/>
      <c r="F15" s="57"/>
      <c r="G15" s="57"/>
      <c r="H15" s="57"/>
      <c r="I15" s="57"/>
      <c r="J15" s="57"/>
    </row>
    <row r="16" customFormat="false" ht="37.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customFormat="false" ht="37.5" hidden="false" customHeight="true" outlineLevel="0" collapsed="false">
      <c r="A17" s="57"/>
      <c r="B17" s="57"/>
      <c r="C17" s="57"/>
      <c r="D17" s="57"/>
      <c r="E17" s="57"/>
      <c r="F17" s="57"/>
      <c r="G17" s="57"/>
      <c r="H17" s="57"/>
      <c r="I17" s="57"/>
      <c r="J17" s="57"/>
    </row>
    <row r="18" customFormat="false" ht="37.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customFormat="false" ht="37.5" hidden="false" customHeight="true" outlineLevel="0" collapsed="false">
      <c r="A19" s="57"/>
      <c r="B19" s="57"/>
      <c r="C19" s="57"/>
      <c r="D19" s="57"/>
      <c r="E19" s="57"/>
      <c r="F19" s="57"/>
      <c r="G19" s="57"/>
      <c r="H19" s="57"/>
      <c r="I19" s="57"/>
      <c r="J19" s="57"/>
    </row>
    <row r="20" customFormat="false" ht="37.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customFormat="false" ht="37.5" hidden="false" customHeight="true" outlineLevel="0" collapsed="false">
      <c r="A21" s="57"/>
      <c r="B21" s="57"/>
      <c r="C21" s="57"/>
      <c r="D21" s="57"/>
      <c r="E21" s="57"/>
      <c r="F21" s="57"/>
      <c r="G21" s="57"/>
      <c r="H21" s="57"/>
      <c r="I21" s="57"/>
      <c r="J21" s="57"/>
    </row>
    <row r="22" customFormat="false" ht="37.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customFormat="false" ht="37.5" hidden="false" customHeight="true" outlineLevel="0" collapsed="false">
      <c r="A23" s="57"/>
      <c r="B23" s="57"/>
      <c r="C23" s="57"/>
      <c r="D23" s="57"/>
      <c r="E23" s="57"/>
      <c r="F23" s="57"/>
      <c r="G23" s="57"/>
      <c r="H23" s="57"/>
      <c r="I23" s="57"/>
      <c r="J23" s="57"/>
    </row>
    <row r="24" customFormat="false" ht="37.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customFormat="false" ht="37.5" hidden="false" customHeight="true" outlineLevel="0" collapsed="false">
      <c r="A25" s="57"/>
      <c r="B25" s="57"/>
      <c r="C25" s="57"/>
      <c r="D25" s="57"/>
      <c r="E25" s="57"/>
      <c r="F25" s="57"/>
      <c r="G25" s="57"/>
      <c r="H25" s="57"/>
      <c r="I25" s="57"/>
      <c r="J25" s="57"/>
    </row>
    <row r="26" customFormat="false" ht="37.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customFormat="false" ht="37.5" hidden="false" customHeight="true" outlineLevel="0" collapsed="false">
      <c r="A27" s="57"/>
      <c r="B27" s="57"/>
      <c r="C27" s="57"/>
      <c r="D27" s="57"/>
      <c r="E27" s="57"/>
      <c r="F27" s="57"/>
      <c r="G27" s="57"/>
      <c r="H27" s="57"/>
      <c r="I27" s="57"/>
      <c r="J27" s="57"/>
    </row>
    <row r="28" customFormat="false" ht="37.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customFormat="false" ht="37.5" hidden="false" customHeight="true" outlineLevel="0" collapsed="false">
      <c r="A29" s="57"/>
      <c r="B29" s="57"/>
      <c r="C29" s="57"/>
      <c r="D29" s="57"/>
      <c r="E29" s="57"/>
      <c r="F29" s="57"/>
      <c r="G29" s="57"/>
      <c r="H29" s="57"/>
      <c r="I29" s="57"/>
      <c r="J29" s="57"/>
    </row>
    <row r="30" customFormat="false" ht="37.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customFormat="false" ht="37.5" hidden="false" customHeight="true" outlineLevel="0" collapsed="false">
      <c r="A31" s="57"/>
      <c r="B31" s="57"/>
      <c r="C31" s="57"/>
      <c r="D31" s="57"/>
      <c r="E31" s="57"/>
      <c r="F31" s="57"/>
      <c r="G31" s="57"/>
      <c r="H31" s="57"/>
      <c r="I31" s="57"/>
      <c r="J31" s="57"/>
    </row>
    <row r="32" customFormat="false" ht="37.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customFormat="false" ht="37.5" hidden="false" customHeight="true" outlineLevel="0" collapsed="false">
      <c r="A33" s="57"/>
      <c r="B33" s="57"/>
      <c r="C33" s="57"/>
      <c r="D33" s="57"/>
      <c r="E33" s="57"/>
      <c r="F33" s="57"/>
      <c r="G33" s="57"/>
      <c r="H33" s="57"/>
      <c r="I33" s="57"/>
      <c r="J33" s="57"/>
    </row>
    <row r="34" customFormat="false" ht="37.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customFormat="false" ht="37.5" hidden="false" customHeight="true" outlineLevel="0" collapsed="false">
      <c r="A35" s="57"/>
      <c r="B35" s="57"/>
      <c r="C35" s="57"/>
      <c r="D35" s="57"/>
      <c r="E35" s="57"/>
      <c r="F35" s="57"/>
      <c r="G35" s="57"/>
      <c r="H35" s="57"/>
      <c r="I35" s="57"/>
      <c r="J35" s="57"/>
    </row>
    <row r="36" customFormat="false" ht="37.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customFormat="false" ht="37.5" hidden="false" customHeight="true" outlineLevel="0" collapsed="false">
      <c r="A37" s="57"/>
      <c r="B37" s="57"/>
      <c r="C37" s="57"/>
      <c r="D37" s="57"/>
      <c r="E37" s="57"/>
      <c r="F37" s="57"/>
      <c r="G37" s="57"/>
      <c r="H37" s="57"/>
      <c r="I37" s="57"/>
      <c r="J37" s="57"/>
    </row>
    <row r="38" customFormat="false" ht="37.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customFormat="false" ht="37.5" hidden="false" customHeight="true" outlineLevel="0" collapsed="false">
      <c r="A39" s="57"/>
      <c r="B39" s="57"/>
      <c r="C39" s="57"/>
      <c r="D39" s="57"/>
      <c r="E39" s="57"/>
      <c r="F39" s="57"/>
      <c r="G39" s="57"/>
      <c r="H39" s="57"/>
      <c r="I39" s="57"/>
      <c r="J39" s="57"/>
    </row>
    <row r="40" customFormat="false" ht="37.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customFormat="false" ht="37.5" hidden="false" customHeight="true" outlineLevel="0" collapsed="false">
      <c r="A41" s="57"/>
      <c r="B41" s="57"/>
      <c r="C41" s="57"/>
      <c r="D41" s="57"/>
      <c r="E41" s="57"/>
      <c r="F41" s="57"/>
      <c r="G41" s="57"/>
      <c r="H41" s="57"/>
      <c r="I41" s="57"/>
      <c r="J41" s="57"/>
    </row>
    <row r="42" customFormat="false" ht="37.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customFormat="false" ht="37.5" hidden="false" customHeight="true" outlineLevel="0" collapsed="false">
      <c r="A43" s="57"/>
      <c r="B43" s="57"/>
      <c r="C43" s="57"/>
      <c r="D43" s="57"/>
      <c r="E43" s="57"/>
      <c r="F43" s="57"/>
      <c r="G43" s="57"/>
      <c r="H43" s="57"/>
      <c r="I43" s="57"/>
      <c r="J43" s="57"/>
    </row>
    <row r="44" customFormat="false" ht="37.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customFormat="false" ht="37.5" hidden="false" customHeight="true" outlineLevel="0" collapsed="false">
      <c r="A45" s="57"/>
      <c r="B45" s="57"/>
      <c r="C45" s="57"/>
      <c r="D45" s="57"/>
      <c r="E45" s="57"/>
      <c r="F45" s="57"/>
      <c r="G45" s="57"/>
      <c r="H45" s="57"/>
      <c r="I45" s="57"/>
      <c r="J45" s="57"/>
    </row>
    <row r="46" customFormat="false" ht="37.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customFormat="false" ht="37.5" hidden="false" customHeight="true" outlineLevel="0" collapsed="false">
      <c r="A47" s="57"/>
      <c r="B47" s="57"/>
      <c r="C47" s="57"/>
      <c r="D47" s="57"/>
      <c r="E47" s="57"/>
      <c r="F47" s="57"/>
      <c r="G47" s="57"/>
      <c r="H47" s="57"/>
      <c r="I47" s="57"/>
      <c r="J47" s="57"/>
    </row>
    <row r="48" customFormat="false" ht="37.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customFormat="false" ht="37.5" hidden="false" customHeight="true" outlineLevel="0" collapsed="false">
      <c r="A49" s="57"/>
      <c r="B49" s="57"/>
      <c r="C49" s="57"/>
      <c r="D49" s="57"/>
      <c r="E49" s="57"/>
      <c r="F49" s="57"/>
      <c r="G49" s="57"/>
      <c r="H49" s="57"/>
      <c r="I49" s="57"/>
      <c r="J49" s="57"/>
    </row>
    <row r="50" customFormat="false" ht="37.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customFormat="false" ht="37.5" hidden="false" customHeight="true" outlineLevel="0" collapsed="false">
      <c r="A51" s="57"/>
      <c r="B51" s="57"/>
      <c r="C51" s="57"/>
      <c r="D51" s="57"/>
      <c r="E51" s="57"/>
      <c r="F51" s="57"/>
      <c r="G51" s="57"/>
      <c r="H51" s="57"/>
      <c r="I51" s="57"/>
      <c r="J51" s="57"/>
    </row>
    <row r="52" customFormat="false" ht="37.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customFormat="false" ht="37.5" hidden="false" customHeight="true" outlineLevel="0" collapsed="false">
      <c r="A53" s="57"/>
      <c r="B53" s="57"/>
      <c r="C53" s="57"/>
      <c r="D53" s="57"/>
      <c r="E53" s="57"/>
      <c r="F53" s="57"/>
      <c r="G53" s="57"/>
      <c r="H53" s="57"/>
      <c r="I53" s="57"/>
      <c r="J53" s="57"/>
    </row>
    <row r="54" customFormat="false" ht="37.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customFormat="false" ht="37.5" hidden="false" customHeight="true" outlineLevel="0" collapsed="false">
      <c r="A55" s="57"/>
      <c r="B55" s="57"/>
      <c r="C55" s="57"/>
      <c r="D55" s="57"/>
      <c r="E55" s="57"/>
      <c r="F55" s="57"/>
      <c r="G55" s="57"/>
      <c r="H55" s="57"/>
      <c r="I55" s="57"/>
      <c r="J55" s="57"/>
    </row>
    <row r="56" customFormat="false" ht="37.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customFormat="false" ht="37.5" hidden="false" customHeight="true" outlineLevel="0" collapsed="false">
      <c r="A57" s="57"/>
      <c r="B57" s="57"/>
      <c r="C57" s="57"/>
      <c r="D57" s="57"/>
      <c r="E57" s="57"/>
      <c r="F57" s="57"/>
      <c r="G57" s="57"/>
      <c r="H57" s="57"/>
      <c r="I57" s="57"/>
      <c r="J57" s="57"/>
    </row>
    <row r="58" customFormat="false" ht="37.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customFormat="false" ht="37.5" hidden="false" customHeight="true" outlineLevel="0" collapsed="false">
      <c r="A59" s="57"/>
      <c r="B59" s="57"/>
      <c r="C59" s="57"/>
      <c r="D59" s="57"/>
      <c r="E59" s="57"/>
      <c r="F59" s="57"/>
      <c r="G59" s="57"/>
      <c r="H59" s="57"/>
      <c r="I59" s="57"/>
      <c r="J59" s="57"/>
    </row>
    <row r="61" customFormat="false" ht="19.5" hidden="false" customHeight="true" outlineLevel="0" collapsed="false">
      <c r="A61" s="23" t="s">
        <v>159</v>
      </c>
      <c r="B61" s="23"/>
      <c r="C61" s="23"/>
      <c r="D61" s="23"/>
      <c r="E61" s="23"/>
      <c r="F61" s="23"/>
      <c r="G61" s="23"/>
      <c r="H61" s="23"/>
      <c r="I61" s="23"/>
      <c r="J61" s="23"/>
    </row>
    <row r="62" customFormat="false" ht="19.5" hidden="false" customHeight="true" outlineLevel="0" collapsed="false">
      <c r="A62" s="58" t="s">
        <v>132</v>
      </c>
      <c r="B62" s="59" t="s">
        <v>160</v>
      </c>
      <c r="C62" s="59"/>
      <c r="D62" s="59"/>
      <c r="E62" s="59"/>
      <c r="F62" s="59"/>
      <c r="G62" s="59"/>
      <c r="H62" s="59"/>
      <c r="I62" s="59"/>
      <c r="J62" s="59"/>
    </row>
    <row r="63" customFormat="false" ht="19.5" hidden="false" customHeight="true" outlineLevel="0" collapsed="false">
      <c r="A63" s="58" t="s">
        <v>137</v>
      </c>
      <c r="B63" s="60" t="s">
        <v>161</v>
      </c>
      <c r="C63" s="60"/>
      <c r="D63" s="60"/>
      <c r="E63" s="60"/>
      <c r="F63" s="60"/>
      <c r="G63" s="60"/>
      <c r="H63" s="60"/>
      <c r="I63" s="60"/>
      <c r="J63" s="60"/>
    </row>
    <row r="64" customFormat="false" ht="19.5" hidden="false" customHeight="true" outlineLevel="0" collapsed="false">
      <c r="A64" s="58" t="s">
        <v>162</v>
      </c>
      <c r="B64" s="59" t="s">
        <v>163</v>
      </c>
      <c r="C64" s="59"/>
      <c r="D64" s="59"/>
      <c r="E64" s="59"/>
      <c r="F64" s="59"/>
      <c r="G64" s="59"/>
      <c r="H64" s="59"/>
      <c r="I64" s="59"/>
      <c r="J64" s="59"/>
    </row>
    <row r="65" customFormat="false" ht="19.5" hidden="false" customHeight="true" outlineLevel="0" collapsed="false">
      <c r="A65" s="58" t="s">
        <v>164</v>
      </c>
      <c r="B65" s="60" t="s">
        <v>165</v>
      </c>
      <c r="C65" s="60"/>
      <c r="D65" s="60"/>
      <c r="E65" s="60"/>
      <c r="F65" s="60"/>
      <c r="G65" s="60"/>
      <c r="H65" s="60"/>
      <c r="I65" s="60"/>
      <c r="J65" s="60"/>
    </row>
    <row r="66" customFormat="false" ht="19.5" hidden="false" customHeight="true" outlineLevel="0" collapsed="false">
      <c r="A66" s="58" t="s">
        <v>166</v>
      </c>
      <c r="B66" s="59" t="s">
        <v>167</v>
      </c>
      <c r="C66" s="59"/>
      <c r="D66" s="59"/>
      <c r="E66" s="59"/>
      <c r="F66" s="59"/>
      <c r="G66" s="59"/>
      <c r="H66" s="59"/>
      <c r="I66" s="59"/>
      <c r="J66" s="59"/>
    </row>
    <row r="67" customFormat="false" ht="19.5" hidden="false" customHeight="true" outlineLevel="0" collapsed="false">
      <c r="A67" s="58" t="s">
        <v>168</v>
      </c>
      <c r="B67" s="60" t="s">
        <v>169</v>
      </c>
      <c r="C67" s="60"/>
      <c r="D67" s="60"/>
      <c r="E67" s="60"/>
      <c r="F67" s="60"/>
      <c r="G67" s="60"/>
      <c r="H67" s="60"/>
      <c r="I67" s="60"/>
      <c r="J67" s="60"/>
    </row>
    <row r="68" customFormat="false" ht="19.5" hidden="false" customHeight="true" outlineLevel="0" collapsed="false">
      <c r="A68" s="58" t="s">
        <v>170</v>
      </c>
      <c r="B68" s="59" t="s">
        <v>171</v>
      </c>
      <c r="C68" s="59"/>
      <c r="D68" s="59"/>
      <c r="E68" s="59"/>
      <c r="F68" s="59"/>
      <c r="G68" s="59"/>
      <c r="H68" s="59"/>
      <c r="I68" s="59"/>
      <c r="J68" s="59"/>
    </row>
    <row r="69" customFormat="false" ht="19.5" hidden="false" customHeight="true" outlineLevel="0" collapsed="false">
      <c r="A69" s="58" t="s">
        <v>154</v>
      </c>
      <c r="B69" s="60" t="s">
        <v>172</v>
      </c>
      <c r="C69" s="60"/>
      <c r="D69" s="60"/>
      <c r="E69" s="60"/>
      <c r="F69" s="60"/>
      <c r="G69" s="60"/>
      <c r="H69" s="60"/>
      <c r="I69" s="60"/>
      <c r="J69" s="60"/>
    </row>
    <row r="70" customFormat="false" ht="19.5" hidden="false" customHeight="true" outlineLevel="0" collapsed="false">
      <c r="A70" s="58" t="s">
        <v>173</v>
      </c>
      <c r="B70" s="59" t="s">
        <v>174</v>
      </c>
      <c r="C70" s="59"/>
      <c r="D70" s="59"/>
      <c r="E70" s="59"/>
      <c r="F70" s="59"/>
      <c r="G70" s="59"/>
      <c r="H70" s="59"/>
      <c r="I70" s="59"/>
      <c r="J70" s="59"/>
    </row>
  </sheetData>
  <mergeCells count="13">
    <mergeCell ref="A1:J1"/>
    <mergeCell ref="A2:J2"/>
    <mergeCell ref="A3:J3"/>
    <mergeCell ref="A61:J61"/>
    <mergeCell ref="B62:J62"/>
    <mergeCell ref="B63:J63"/>
    <mergeCell ref="B64:J64"/>
    <mergeCell ref="B65:J65"/>
    <mergeCell ref="B66:J66"/>
    <mergeCell ref="B67:J67"/>
    <mergeCell ref="B68:J68"/>
    <mergeCell ref="B69:J69"/>
    <mergeCell ref="B70:J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22"/>
  </cols>
  <sheetData>
    <row r="1" customFormat="false" ht="33.75" hidden="false" customHeight="true" outlineLevel="0" collapsed="false">
      <c r="A1" s="28" t="s">
        <v>175</v>
      </c>
      <c r="B1" s="28"/>
      <c r="C1" s="28"/>
      <c r="D1" s="28"/>
      <c r="E1" s="28"/>
      <c r="F1" s="28"/>
      <c r="G1" s="28"/>
      <c r="H1" s="28"/>
      <c r="I1" s="28"/>
      <c r="J1" s="28"/>
    </row>
    <row r="2" customFormat="false" ht="19.5" hidden="false" customHeight="true" outlineLevel="0" collapsed="false">
      <c r="A2" s="61" t="s">
        <v>176</v>
      </c>
      <c r="B2" s="61"/>
      <c r="C2" s="61"/>
      <c r="D2" s="61"/>
      <c r="E2" s="61"/>
      <c r="F2" s="61"/>
      <c r="G2" s="61"/>
      <c r="H2" s="61"/>
      <c r="I2" s="61"/>
      <c r="J2" s="61"/>
    </row>
    <row r="3" customFormat="false" ht="36" hidden="false" customHeight="true" outlineLevel="0" collapsed="false">
      <c r="A3" s="7" t="s">
        <v>177</v>
      </c>
      <c r="B3" s="7"/>
      <c r="C3" s="7"/>
      <c r="D3" s="7"/>
      <c r="E3" s="7"/>
      <c r="F3" s="7"/>
      <c r="G3" s="7"/>
      <c r="H3" s="7"/>
      <c r="I3" s="7"/>
      <c r="J3" s="7"/>
    </row>
    <row r="4" customFormat="false" ht="39.75" hidden="false" customHeight="true" outlineLevel="0" collapsed="false">
      <c r="A4" s="62" t="s">
        <v>71</v>
      </c>
      <c r="B4" s="62" t="s">
        <v>72</v>
      </c>
      <c r="C4" s="62" t="s">
        <v>178</v>
      </c>
      <c r="D4" s="62" t="s">
        <v>179</v>
      </c>
      <c r="E4" s="62" t="s">
        <v>180</v>
      </c>
      <c r="F4" s="62" t="s">
        <v>181</v>
      </c>
      <c r="G4" s="62" t="s">
        <v>182</v>
      </c>
      <c r="H4" s="62" t="s">
        <v>183</v>
      </c>
      <c r="I4" s="62" t="s">
        <v>184</v>
      </c>
      <c r="J4" s="62" t="s">
        <v>185</v>
      </c>
    </row>
    <row r="5" customFormat="false" ht="21.75" hidden="false" customHeight="true" outlineLevel="0" collapsed="false">
      <c r="A5" s="63" t="s">
        <v>186</v>
      </c>
      <c r="B5" s="63"/>
      <c r="C5" s="63"/>
      <c r="D5" s="63"/>
      <c r="E5" s="63"/>
      <c r="F5" s="63"/>
      <c r="G5" s="63"/>
      <c r="H5" s="63"/>
      <c r="I5" s="63"/>
      <c r="J5" s="63"/>
    </row>
    <row r="6" customFormat="false" ht="24" hidden="false" customHeight="true" outlineLevel="0" collapsed="false">
      <c r="A6" s="64" t="s">
        <v>187</v>
      </c>
      <c r="B6" s="65" t="n">
        <f aca="false">COUNTA(C7:C106)-COUNTBLANK(C7:C106)</f>
        <v>-92</v>
      </c>
      <c r="C6" s="64" t="s">
        <v>188</v>
      </c>
      <c r="D6" s="66" t="n">
        <f aca="false">SUM(H7:H106)</f>
        <v>10000</v>
      </c>
      <c r="E6" s="64" t="s">
        <v>189</v>
      </c>
      <c r="F6" s="67" t="n">
        <f aca="false">IF(COUNTA(C7:C106)-COUNTBLANK(C7:C106)=0,"-",COUNTIF(G7:G106,"Yes - Gift Received")/(COUNTA(C7:C106)-COUNTBLANK(C7:C106)))</f>
        <v>-0.0108695652173913</v>
      </c>
      <c r="G6" s="64" t="s">
        <v>190</v>
      </c>
      <c r="H6" s="66" t="n">
        <f aca="false">IF(COUNTIF(G7:G106,"Yes - Gift Received")=0,"-",SUMIF(G7:G106,"Yes - Gift Received",H7:H106)/COUNTIF(G7:G106,"Yes - Gift Received"))</f>
        <v>10000</v>
      </c>
      <c r="I6" s="64" t="s">
        <v>191</v>
      </c>
      <c r="J6" s="65" t="n">
        <f aca="false">COUNTIF(G7:G106,"Pending")</f>
        <v>1</v>
      </c>
    </row>
    <row r="7" customFormat="false" ht="39.75" hidden="false" customHeight="true" outlineLevel="0" collapsed="false">
      <c r="A7" s="35" t="n">
        <v>1</v>
      </c>
      <c r="B7" s="36" t="s">
        <v>91</v>
      </c>
      <c r="C7" s="39" t="s">
        <v>192</v>
      </c>
      <c r="D7" s="36" t="s">
        <v>193</v>
      </c>
      <c r="E7" s="38" t="n">
        <v>50000</v>
      </c>
      <c r="F7" s="36" t="s">
        <v>194</v>
      </c>
      <c r="G7" s="25" t="s">
        <v>195</v>
      </c>
      <c r="H7" s="38" t="n">
        <v>0</v>
      </c>
      <c r="I7" s="39" t="s">
        <v>94</v>
      </c>
      <c r="J7" s="36" t="s">
        <v>196</v>
      </c>
    </row>
    <row r="8" customFormat="false" ht="39.75" hidden="false" customHeight="true" outlineLevel="0" collapsed="false">
      <c r="A8" s="40" t="n">
        <v>2</v>
      </c>
      <c r="B8" s="41" t="s">
        <v>84</v>
      </c>
      <c r="C8" s="43" t="s">
        <v>88</v>
      </c>
      <c r="D8" s="41" t="s">
        <v>193</v>
      </c>
      <c r="E8" s="42" t="n">
        <v>25000</v>
      </c>
      <c r="F8" s="41" t="s">
        <v>86</v>
      </c>
      <c r="G8" s="37" t="s">
        <v>197</v>
      </c>
      <c r="H8" s="42" t="n">
        <v>0</v>
      </c>
      <c r="I8" s="43" t="s">
        <v>198</v>
      </c>
      <c r="J8" s="41" t="s">
        <v>199</v>
      </c>
    </row>
    <row r="9" customFormat="false" ht="39.75" hidden="false" customHeight="true" outlineLevel="0" collapsed="false">
      <c r="A9" s="35" t="n">
        <v>3</v>
      </c>
      <c r="B9" s="36" t="s">
        <v>103</v>
      </c>
      <c r="C9" s="39" t="s">
        <v>200</v>
      </c>
      <c r="D9" s="36" t="s">
        <v>201</v>
      </c>
      <c r="E9" s="38" t="n">
        <v>15000</v>
      </c>
      <c r="F9" s="36" t="s">
        <v>105</v>
      </c>
      <c r="G9" s="24" t="s">
        <v>202</v>
      </c>
      <c r="H9" s="38" t="n">
        <v>10000</v>
      </c>
      <c r="I9" s="39"/>
      <c r="J9" s="36" t="s">
        <v>203</v>
      </c>
    </row>
    <row r="10" customFormat="false" ht="39.75" hidden="false" customHeight="true" outlineLevel="0" collapsed="false">
      <c r="A10" s="40" t="n">
        <v>4</v>
      </c>
      <c r="B10" s="41" t="s">
        <v>109</v>
      </c>
      <c r="C10" s="43" t="s">
        <v>101</v>
      </c>
      <c r="D10" s="41" t="s">
        <v>201</v>
      </c>
      <c r="E10" s="42" t="n">
        <v>2500</v>
      </c>
      <c r="F10" s="41" t="s">
        <v>110</v>
      </c>
      <c r="G10" s="26" t="s">
        <v>204</v>
      </c>
      <c r="H10" s="42" t="n">
        <v>0</v>
      </c>
      <c r="I10" s="43" t="s">
        <v>205</v>
      </c>
      <c r="J10" s="41" t="s">
        <v>206</v>
      </c>
    </row>
    <row r="11" customFormat="false" ht="24" hidden="false" customHeight="true" outlineLevel="0" collapsed="false">
      <c r="A11" s="68"/>
      <c r="B11" s="68"/>
      <c r="C11" s="68"/>
      <c r="D11" s="68"/>
      <c r="E11" s="68"/>
      <c r="F11" s="68"/>
      <c r="G11" s="68"/>
      <c r="H11" s="68"/>
      <c r="I11" s="68"/>
      <c r="J11" s="68"/>
    </row>
    <row r="12" customFormat="false" ht="24" hidden="false" customHeight="true" outlineLevel="0" collapsed="false">
      <c r="A12" s="69"/>
      <c r="B12" s="69"/>
      <c r="C12" s="69"/>
      <c r="D12" s="69"/>
      <c r="E12" s="69"/>
      <c r="F12" s="69"/>
      <c r="G12" s="69"/>
      <c r="H12" s="69"/>
      <c r="I12" s="69"/>
      <c r="J12" s="69"/>
    </row>
    <row r="13" customFormat="false" ht="24" hidden="false" customHeight="true" outlineLevel="0" collapsed="false">
      <c r="A13" s="68"/>
      <c r="B13" s="68"/>
      <c r="C13" s="68"/>
      <c r="D13" s="68"/>
      <c r="E13" s="68"/>
      <c r="F13" s="68"/>
      <c r="G13" s="68"/>
      <c r="H13" s="68"/>
      <c r="I13" s="68"/>
      <c r="J13" s="68"/>
    </row>
    <row r="14" customFormat="false" ht="24" hidden="false" customHeight="true" outlineLevel="0" collapsed="false">
      <c r="A14" s="69"/>
      <c r="B14" s="69"/>
      <c r="C14" s="69"/>
      <c r="D14" s="69"/>
      <c r="E14" s="69"/>
      <c r="F14" s="69"/>
      <c r="G14" s="69"/>
      <c r="H14" s="69"/>
      <c r="I14" s="69"/>
      <c r="J14" s="69"/>
    </row>
    <row r="15" customFormat="false" ht="24" hidden="false" customHeight="true" outlineLevel="0" collapsed="false">
      <c r="A15" s="68"/>
      <c r="B15" s="68"/>
      <c r="C15" s="68"/>
      <c r="D15" s="68"/>
      <c r="E15" s="68"/>
      <c r="F15" s="68"/>
      <c r="G15" s="68"/>
      <c r="H15" s="68"/>
      <c r="I15" s="68"/>
      <c r="J15" s="68"/>
    </row>
    <row r="16" customFormat="false" ht="24" hidden="false" customHeight="true" outlineLevel="0" collapsed="false">
      <c r="A16" s="69"/>
      <c r="B16" s="69"/>
      <c r="C16" s="69"/>
      <c r="D16" s="69"/>
      <c r="E16" s="69"/>
      <c r="F16" s="69"/>
      <c r="G16" s="69"/>
      <c r="H16" s="69"/>
      <c r="I16" s="69"/>
      <c r="J16" s="69"/>
    </row>
    <row r="17" customFormat="false" ht="24" hidden="false" customHeight="true" outlineLevel="0" collapsed="false">
      <c r="A17" s="68"/>
      <c r="B17" s="68"/>
      <c r="C17" s="68"/>
      <c r="D17" s="68"/>
      <c r="E17" s="68"/>
      <c r="F17" s="68"/>
      <c r="G17" s="68"/>
      <c r="H17" s="68"/>
      <c r="I17" s="68"/>
      <c r="J17" s="68"/>
    </row>
    <row r="18" customFormat="false" ht="24" hidden="false" customHeight="true" outlineLevel="0" collapsed="false">
      <c r="A18" s="69"/>
      <c r="B18" s="69"/>
      <c r="C18" s="69"/>
      <c r="D18" s="69"/>
      <c r="E18" s="69"/>
      <c r="F18" s="69"/>
      <c r="G18" s="69"/>
      <c r="H18" s="69"/>
      <c r="I18" s="69"/>
      <c r="J18" s="69"/>
    </row>
    <row r="19" customFormat="false" ht="24" hidden="false" customHeight="true" outlineLevel="0" collapsed="false">
      <c r="A19" s="68"/>
      <c r="B19" s="68"/>
      <c r="C19" s="68"/>
      <c r="D19" s="68"/>
      <c r="E19" s="68"/>
      <c r="F19" s="68"/>
      <c r="G19" s="68"/>
      <c r="H19" s="68"/>
      <c r="I19" s="68"/>
      <c r="J19" s="68"/>
    </row>
    <row r="20" customFormat="false" ht="24" hidden="false" customHeight="true" outlineLevel="0" collapsed="false">
      <c r="A20" s="69"/>
      <c r="B20" s="69"/>
      <c r="C20" s="69"/>
      <c r="D20" s="69"/>
      <c r="E20" s="69"/>
      <c r="F20" s="69"/>
      <c r="G20" s="69"/>
      <c r="H20" s="69"/>
      <c r="I20" s="69"/>
      <c r="J20" s="69"/>
    </row>
    <row r="21" customFormat="false" ht="24" hidden="false" customHeight="true" outlineLevel="0" collapsed="false">
      <c r="A21" s="68"/>
      <c r="B21" s="68"/>
      <c r="C21" s="68"/>
      <c r="D21" s="68"/>
      <c r="E21" s="68"/>
      <c r="F21" s="68"/>
      <c r="G21" s="68"/>
      <c r="H21" s="68"/>
      <c r="I21" s="68"/>
      <c r="J21" s="68"/>
    </row>
    <row r="22" customFormat="false" ht="24" hidden="false" customHeight="true" outlineLevel="0" collapsed="false">
      <c r="A22" s="69"/>
      <c r="B22" s="69"/>
      <c r="C22" s="69"/>
      <c r="D22" s="69"/>
      <c r="E22" s="69"/>
      <c r="F22" s="69"/>
      <c r="G22" s="69"/>
      <c r="H22" s="69"/>
      <c r="I22" s="69"/>
      <c r="J22" s="69"/>
    </row>
    <row r="23" customFormat="false" ht="24" hidden="false" customHeight="true" outlineLevel="0" collapsed="false">
      <c r="A23" s="68"/>
      <c r="B23" s="68"/>
      <c r="C23" s="68"/>
      <c r="D23" s="68"/>
      <c r="E23" s="68"/>
      <c r="F23" s="68"/>
      <c r="G23" s="68"/>
      <c r="H23" s="68"/>
      <c r="I23" s="68"/>
      <c r="J23" s="68"/>
    </row>
    <row r="24" customFormat="false" ht="24" hidden="false" customHeight="true" outlineLevel="0" collapsed="false">
      <c r="A24" s="69"/>
      <c r="B24" s="69"/>
      <c r="C24" s="69"/>
      <c r="D24" s="69"/>
      <c r="E24" s="69"/>
      <c r="F24" s="69"/>
      <c r="G24" s="69"/>
      <c r="H24" s="69"/>
      <c r="I24" s="69"/>
      <c r="J24" s="69"/>
    </row>
    <row r="25" customFormat="false" ht="24" hidden="false" customHeight="true" outlineLevel="0" collapsed="false">
      <c r="A25" s="68"/>
      <c r="B25" s="68"/>
      <c r="C25" s="68"/>
      <c r="D25" s="68"/>
      <c r="E25" s="68"/>
      <c r="F25" s="68"/>
      <c r="G25" s="68"/>
      <c r="H25" s="68"/>
      <c r="I25" s="68"/>
      <c r="J25" s="68"/>
    </row>
    <row r="26" customFormat="false" ht="24" hidden="false" customHeight="true" outlineLevel="0" collapsed="false">
      <c r="A26" s="69"/>
      <c r="B26" s="69"/>
      <c r="C26" s="69"/>
      <c r="D26" s="69"/>
      <c r="E26" s="69"/>
      <c r="F26" s="69"/>
      <c r="G26" s="69"/>
      <c r="H26" s="69"/>
      <c r="I26" s="69"/>
      <c r="J26" s="69"/>
    </row>
    <row r="27" customFormat="false" ht="24" hidden="false" customHeight="true" outlineLevel="0" collapsed="false">
      <c r="A27" s="68"/>
      <c r="B27" s="68"/>
      <c r="C27" s="68"/>
      <c r="D27" s="68"/>
      <c r="E27" s="68"/>
      <c r="F27" s="68"/>
      <c r="G27" s="68"/>
      <c r="H27" s="68"/>
      <c r="I27" s="68"/>
      <c r="J27" s="68"/>
    </row>
    <row r="28" customFormat="false" ht="24" hidden="false" customHeight="true" outlineLevel="0" collapsed="false">
      <c r="A28" s="69"/>
      <c r="B28" s="69"/>
      <c r="C28" s="69"/>
      <c r="D28" s="69"/>
      <c r="E28" s="69"/>
      <c r="F28" s="69"/>
      <c r="G28" s="69"/>
      <c r="H28" s="69"/>
      <c r="I28" s="69"/>
      <c r="J28" s="69"/>
    </row>
    <row r="29" customFormat="false" ht="24" hidden="false" customHeight="true" outlineLevel="0" collapsed="false">
      <c r="A29" s="68"/>
      <c r="B29" s="68"/>
      <c r="C29" s="68"/>
      <c r="D29" s="68"/>
      <c r="E29" s="68"/>
      <c r="F29" s="68"/>
      <c r="G29" s="68"/>
      <c r="H29" s="68"/>
      <c r="I29" s="68"/>
      <c r="J29" s="68"/>
    </row>
    <row r="30" customFormat="false" ht="24" hidden="false" customHeight="true" outlineLevel="0" collapsed="false">
      <c r="A30" s="69"/>
      <c r="B30" s="69"/>
      <c r="C30" s="69"/>
      <c r="D30" s="69"/>
      <c r="E30" s="69"/>
      <c r="F30" s="69"/>
      <c r="G30" s="69"/>
      <c r="H30" s="69"/>
      <c r="I30" s="69"/>
      <c r="J30" s="69"/>
    </row>
    <row r="31" customFormat="false" ht="24" hidden="false" customHeight="true" outlineLevel="0" collapsed="false">
      <c r="A31" s="68"/>
      <c r="B31" s="68"/>
      <c r="C31" s="68"/>
      <c r="D31" s="68"/>
      <c r="E31" s="68"/>
      <c r="F31" s="68"/>
      <c r="G31" s="68"/>
      <c r="H31" s="68"/>
      <c r="I31" s="68"/>
      <c r="J31" s="68"/>
    </row>
    <row r="32" customFormat="false" ht="24" hidden="false" customHeight="true" outlineLevel="0" collapsed="false">
      <c r="A32" s="69"/>
      <c r="B32" s="69"/>
      <c r="C32" s="69"/>
      <c r="D32" s="69"/>
      <c r="E32" s="69"/>
      <c r="F32" s="69"/>
      <c r="G32" s="69"/>
      <c r="H32" s="69"/>
      <c r="I32" s="69"/>
      <c r="J32" s="69"/>
    </row>
    <row r="33" customFormat="false" ht="24" hidden="false" customHeight="true" outlineLevel="0" collapsed="false">
      <c r="A33" s="68"/>
      <c r="B33" s="68"/>
      <c r="C33" s="68"/>
      <c r="D33" s="68"/>
      <c r="E33" s="68"/>
      <c r="F33" s="68"/>
      <c r="G33" s="68"/>
      <c r="H33" s="68"/>
      <c r="I33" s="68"/>
      <c r="J33" s="68"/>
    </row>
    <row r="34" customFormat="false" ht="24" hidden="false" customHeight="true" outlineLevel="0" collapsed="false">
      <c r="A34" s="69"/>
      <c r="B34" s="69"/>
      <c r="C34" s="69"/>
      <c r="D34" s="69"/>
      <c r="E34" s="69"/>
      <c r="F34" s="69"/>
      <c r="G34" s="69"/>
      <c r="H34" s="69"/>
      <c r="I34" s="69"/>
      <c r="J34" s="69"/>
    </row>
    <row r="35" customFormat="false" ht="24" hidden="false" customHeight="true" outlineLevel="0" collapsed="false">
      <c r="A35" s="68"/>
      <c r="B35" s="68"/>
      <c r="C35" s="68"/>
      <c r="D35" s="68"/>
      <c r="E35" s="68"/>
      <c r="F35" s="68"/>
      <c r="G35" s="68"/>
      <c r="H35" s="68"/>
      <c r="I35" s="68"/>
      <c r="J35" s="68"/>
    </row>
    <row r="36" customFormat="false" ht="24" hidden="false" customHeight="true" outlineLevel="0" collapsed="false">
      <c r="A36" s="69"/>
      <c r="B36" s="69"/>
      <c r="C36" s="69"/>
      <c r="D36" s="69"/>
      <c r="E36" s="69"/>
      <c r="F36" s="69"/>
      <c r="G36" s="69"/>
      <c r="H36" s="69"/>
      <c r="I36" s="69"/>
      <c r="J36" s="69"/>
    </row>
    <row r="37" customFormat="false" ht="24" hidden="false" customHeight="true" outlineLevel="0" collapsed="false">
      <c r="A37" s="68"/>
      <c r="B37" s="68"/>
      <c r="C37" s="68"/>
      <c r="D37" s="68"/>
      <c r="E37" s="68"/>
      <c r="F37" s="68"/>
      <c r="G37" s="68"/>
      <c r="H37" s="68"/>
      <c r="I37" s="68"/>
      <c r="J37" s="68"/>
    </row>
    <row r="38" customFormat="false" ht="24" hidden="false" customHeight="true" outlineLevel="0" collapsed="false">
      <c r="A38" s="69"/>
      <c r="B38" s="69"/>
      <c r="C38" s="69"/>
      <c r="D38" s="69"/>
      <c r="E38" s="69"/>
      <c r="F38" s="69"/>
      <c r="G38" s="69"/>
      <c r="H38" s="69"/>
      <c r="I38" s="69"/>
      <c r="J38" s="69"/>
    </row>
    <row r="39" customFormat="false" ht="24" hidden="false" customHeight="true" outlineLevel="0" collapsed="false">
      <c r="A39" s="68"/>
      <c r="B39" s="68"/>
      <c r="C39" s="68"/>
      <c r="D39" s="68"/>
      <c r="E39" s="68"/>
      <c r="F39" s="68"/>
      <c r="G39" s="68"/>
      <c r="H39" s="68"/>
      <c r="I39" s="68"/>
      <c r="J39" s="68"/>
    </row>
    <row r="40" customFormat="false" ht="24" hidden="false" customHeight="true" outlineLevel="0" collapsed="false">
      <c r="A40" s="69"/>
      <c r="B40" s="69"/>
      <c r="C40" s="69"/>
      <c r="D40" s="69"/>
      <c r="E40" s="69"/>
      <c r="F40" s="69"/>
      <c r="G40" s="69"/>
      <c r="H40" s="69"/>
      <c r="I40" s="69"/>
      <c r="J40" s="69"/>
    </row>
    <row r="41" customFormat="false" ht="24" hidden="false" customHeight="true" outlineLevel="0" collapsed="false">
      <c r="A41" s="68"/>
      <c r="B41" s="68"/>
      <c r="C41" s="68"/>
      <c r="D41" s="68"/>
      <c r="E41" s="68"/>
      <c r="F41" s="68"/>
      <c r="G41" s="68"/>
      <c r="H41" s="68"/>
      <c r="I41" s="68"/>
      <c r="J41" s="68"/>
    </row>
    <row r="42" customFormat="false" ht="24" hidden="false" customHeight="true" outlineLevel="0" collapsed="false">
      <c r="A42" s="69"/>
      <c r="B42" s="69"/>
      <c r="C42" s="69"/>
      <c r="D42" s="69"/>
      <c r="E42" s="69"/>
      <c r="F42" s="69"/>
      <c r="G42" s="69"/>
      <c r="H42" s="69"/>
      <c r="I42" s="69"/>
      <c r="J42" s="69"/>
    </row>
    <row r="43" customFormat="false" ht="24" hidden="false" customHeight="true" outlineLevel="0" collapsed="false">
      <c r="A43" s="68"/>
      <c r="B43" s="68"/>
      <c r="C43" s="68"/>
      <c r="D43" s="68"/>
      <c r="E43" s="68"/>
      <c r="F43" s="68"/>
      <c r="G43" s="68"/>
      <c r="H43" s="68"/>
      <c r="I43" s="68"/>
      <c r="J43" s="68"/>
    </row>
    <row r="44" customFormat="false" ht="24" hidden="false" customHeight="true" outlineLevel="0" collapsed="false">
      <c r="A44" s="69"/>
      <c r="B44" s="69"/>
      <c r="C44" s="69"/>
      <c r="D44" s="69"/>
      <c r="E44" s="69"/>
      <c r="F44" s="69"/>
      <c r="G44" s="69"/>
      <c r="H44" s="69"/>
      <c r="I44" s="69"/>
      <c r="J44" s="69"/>
    </row>
    <row r="45" customFormat="false" ht="24" hidden="false" customHeight="true" outlineLevel="0" collapsed="false">
      <c r="A45" s="68"/>
      <c r="B45" s="68"/>
      <c r="C45" s="68"/>
      <c r="D45" s="68"/>
      <c r="E45" s="68"/>
      <c r="F45" s="68"/>
      <c r="G45" s="68"/>
      <c r="H45" s="68"/>
      <c r="I45" s="68"/>
      <c r="J45" s="68"/>
    </row>
    <row r="46" customFormat="false" ht="24" hidden="false" customHeight="true" outlineLevel="0" collapsed="false">
      <c r="A46" s="69"/>
      <c r="B46" s="69"/>
      <c r="C46" s="69"/>
      <c r="D46" s="69"/>
      <c r="E46" s="69"/>
      <c r="F46" s="69"/>
      <c r="G46" s="69"/>
      <c r="H46" s="69"/>
      <c r="I46" s="69"/>
      <c r="J46" s="69"/>
    </row>
    <row r="47" customFormat="false" ht="24" hidden="false" customHeight="true" outlineLevel="0" collapsed="false">
      <c r="A47" s="68"/>
      <c r="B47" s="68"/>
      <c r="C47" s="68"/>
      <c r="D47" s="68"/>
      <c r="E47" s="68"/>
      <c r="F47" s="68"/>
      <c r="G47" s="68"/>
      <c r="H47" s="68"/>
      <c r="I47" s="68"/>
      <c r="J47" s="68"/>
    </row>
    <row r="48" customFormat="false" ht="24" hidden="false" customHeight="true" outlineLevel="0" collapsed="false">
      <c r="A48" s="69"/>
      <c r="B48" s="69"/>
      <c r="C48" s="69"/>
      <c r="D48" s="69"/>
      <c r="E48" s="69"/>
      <c r="F48" s="69"/>
      <c r="G48" s="69"/>
      <c r="H48" s="69"/>
      <c r="I48" s="69"/>
      <c r="J48" s="69"/>
    </row>
    <row r="49" customFormat="false" ht="24" hidden="false" customHeight="true" outlineLevel="0" collapsed="false">
      <c r="A49" s="68"/>
      <c r="B49" s="68"/>
      <c r="C49" s="68"/>
      <c r="D49" s="68"/>
      <c r="E49" s="68"/>
      <c r="F49" s="68"/>
      <c r="G49" s="68"/>
      <c r="H49" s="68"/>
      <c r="I49" s="68"/>
      <c r="J49" s="68"/>
    </row>
    <row r="50" customFormat="false" ht="24" hidden="false" customHeight="true" outlineLevel="0" collapsed="false">
      <c r="A50" s="69"/>
      <c r="B50" s="69"/>
      <c r="C50" s="69"/>
      <c r="D50" s="69"/>
      <c r="E50" s="69"/>
      <c r="F50" s="69"/>
      <c r="G50" s="69"/>
      <c r="H50" s="69"/>
      <c r="I50" s="69"/>
      <c r="J50" s="69"/>
    </row>
    <row r="51" customFormat="false" ht="24" hidden="false" customHeight="true" outlineLevel="0" collapsed="false">
      <c r="A51" s="68"/>
      <c r="B51" s="68"/>
      <c r="C51" s="68"/>
      <c r="D51" s="68"/>
      <c r="E51" s="68"/>
      <c r="F51" s="68"/>
      <c r="G51" s="68"/>
      <c r="H51" s="68"/>
      <c r="I51" s="68"/>
      <c r="J51" s="68"/>
    </row>
    <row r="52" customFormat="false" ht="24" hidden="false" customHeight="true" outlineLevel="0" collapsed="false">
      <c r="A52" s="69"/>
      <c r="B52" s="69"/>
      <c r="C52" s="69"/>
      <c r="D52" s="69"/>
      <c r="E52" s="69"/>
      <c r="F52" s="69"/>
      <c r="G52" s="69"/>
      <c r="H52" s="69"/>
      <c r="I52" s="69"/>
      <c r="J52" s="69"/>
    </row>
    <row r="53" customFormat="false" ht="24" hidden="false" customHeight="true" outlineLevel="0" collapsed="false">
      <c r="A53" s="68"/>
      <c r="B53" s="68"/>
      <c r="C53" s="68"/>
      <c r="D53" s="68"/>
      <c r="E53" s="68"/>
      <c r="F53" s="68"/>
      <c r="G53" s="68"/>
      <c r="H53" s="68"/>
      <c r="I53" s="68"/>
      <c r="J53" s="68"/>
    </row>
    <row r="54" customFormat="false" ht="24" hidden="false" customHeight="true" outlineLevel="0" collapsed="false">
      <c r="A54" s="69"/>
      <c r="B54" s="69"/>
      <c r="C54" s="69"/>
      <c r="D54" s="69"/>
      <c r="E54" s="69"/>
      <c r="F54" s="69"/>
      <c r="G54" s="69"/>
      <c r="H54" s="69"/>
      <c r="I54" s="69"/>
      <c r="J54" s="69"/>
    </row>
    <row r="55" customFormat="false" ht="24" hidden="false" customHeight="true" outlineLevel="0" collapsed="false">
      <c r="A55" s="68"/>
      <c r="B55" s="68"/>
      <c r="C55" s="68"/>
      <c r="D55" s="68"/>
      <c r="E55" s="68"/>
      <c r="F55" s="68"/>
      <c r="G55" s="68"/>
      <c r="H55" s="68"/>
      <c r="I55" s="68"/>
      <c r="J55" s="68"/>
    </row>
    <row r="56" customFormat="false" ht="24" hidden="false" customHeight="true" outlineLevel="0" collapsed="false">
      <c r="A56" s="69"/>
      <c r="B56" s="69"/>
      <c r="C56" s="69"/>
      <c r="D56" s="69"/>
      <c r="E56" s="69"/>
      <c r="F56" s="69"/>
      <c r="G56" s="69"/>
      <c r="H56" s="69"/>
      <c r="I56" s="69"/>
      <c r="J56" s="69"/>
    </row>
    <row r="57" customFormat="false" ht="24" hidden="false" customHeight="true" outlineLevel="0" collapsed="false">
      <c r="A57" s="68"/>
      <c r="B57" s="68"/>
      <c r="C57" s="68"/>
      <c r="D57" s="68"/>
      <c r="E57" s="68"/>
      <c r="F57" s="68"/>
      <c r="G57" s="68"/>
      <c r="H57" s="68"/>
      <c r="I57" s="68"/>
      <c r="J57" s="68"/>
    </row>
    <row r="58" customFormat="false" ht="24" hidden="false" customHeight="true" outlineLevel="0" collapsed="false">
      <c r="A58" s="69"/>
      <c r="B58" s="69"/>
      <c r="C58" s="69"/>
      <c r="D58" s="69"/>
      <c r="E58" s="69"/>
      <c r="F58" s="69"/>
      <c r="G58" s="69"/>
      <c r="H58" s="69"/>
      <c r="I58" s="69"/>
      <c r="J58" s="69"/>
    </row>
    <row r="59" customFormat="false" ht="24" hidden="false" customHeight="true" outlineLevel="0" collapsed="false">
      <c r="A59" s="68"/>
      <c r="B59" s="68"/>
      <c r="C59" s="68"/>
      <c r="D59" s="68"/>
      <c r="E59" s="68"/>
      <c r="F59" s="68"/>
      <c r="G59" s="68"/>
      <c r="H59" s="68"/>
      <c r="I59" s="68"/>
      <c r="J59" s="68"/>
    </row>
    <row r="60" customFormat="false" ht="24" hidden="false" customHeight="true" outlineLevel="0" collapsed="false">
      <c r="A60" s="69"/>
      <c r="B60" s="69"/>
      <c r="C60" s="69"/>
      <c r="D60" s="69"/>
      <c r="E60" s="69"/>
      <c r="F60" s="69"/>
      <c r="G60" s="69"/>
      <c r="H60" s="69"/>
      <c r="I60" s="69"/>
      <c r="J60" s="69"/>
    </row>
    <row r="61" customFormat="false" ht="24" hidden="false" customHeight="true" outlineLevel="0" collapsed="false">
      <c r="A61" s="68"/>
      <c r="B61" s="68"/>
      <c r="C61" s="68"/>
      <c r="D61" s="68"/>
      <c r="E61" s="68"/>
      <c r="F61" s="68"/>
      <c r="G61" s="68"/>
      <c r="H61" s="68"/>
      <c r="I61" s="68"/>
      <c r="J61" s="68"/>
    </row>
    <row r="62" customFormat="false" ht="24" hidden="false" customHeight="true" outlineLevel="0" collapsed="false">
      <c r="A62" s="69"/>
      <c r="B62" s="69"/>
      <c r="C62" s="69"/>
      <c r="D62" s="69"/>
      <c r="E62" s="69"/>
      <c r="F62" s="69"/>
      <c r="G62" s="69"/>
      <c r="H62" s="69"/>
      <c r="I62" s="69"/>
      <c r="J62" s="69"/>
    </row>
    <row r="63" customFormat="false" ht="24" hidden="false" customHeight="true" outlineLevel="0" collapsed="false">
      <c r="A63" s="68"/>
      <c r="B63" s="68"/>
      <c r="C63" s="68"/>
      <c r="D63" s="68"/>
      <c r="E63" s="68"/>
      <c r="F63" s="68"/>
      <c r="G63" s="68"/>
      <c r="H63" s="68"/>
      <c r="I63" s="68"/>
      <c r="J63" s="68"/>
    </row>
    <row r="64" customFormat="false" ht="24" hidden="false" customHeight="true" outlineLevel="0" collapsed="false">
      <c r="A64" s="69"/>
      <c r="B64" s="69"/>
      <c r="C64" s="69"/>
      <c r="D64" s="69"/>
      <c r="E64" s="69"/>
      <c r="F64" s="69"/>
      <c r="G64" s="69"/>
      <c r="H64" s="69"/>
      <c r="I64" s="69"/>
      <c r="J64" s="69"/>
    </row>
    <row r="65" customFormat="false" ht="24" hidden="false" customHeight="true" outlineLevel="0" collapsed="false">
      <c r="A65" s="68"/>
      <c r="B65" s="68"/>
      <c r="C65" s="68"/>
      <c r="D65" s="68"/>
      <c r="E65" s="68"/>
      <c r="F65" s="68"/>
      <c r="G65" s="68"/>
      <c r="H65" s="68"/>
      <c r="I65" s="68"/>
      <c r="J65" s="68"/>
    </row>
    <row r="66" customFormat="false" ht="24" hidden="false" customHeight="true" outlineLevel="0" collapsed="false">
      <c r="A66" s="69"/>
      <c r="B66" s="69"/>
      <c r="C66" s="69"/>
      <c r="D66" s="69"/>
      <c r="E66" s="69"/>
      <c r="F66" s="69"/>
      <c r="G66" s="69"/>
      <c r="H66" s="69"/>
      <c r="I66" s="69"/>
      <c r="J66" s="69"/>
    </row>
    <row r="67" customFormat="false" ht="24" hidden="false" customHeight="true" outlineLevel="0" collapsed="false">
      <c r="A67" s="68"/>
      <c r="B67" s="68"/>
      <c r="C67" s="68"/>
      <c r="D67" s="68"/>
      <c r="E67" s="68"/>
      <c r="F67" s="68"/>
      <c r="G67" s="68"/>
      <c r="H67" s="68"/>
      <c r="I67" s="68"/>
      <c r="J67" s="68"/>
    </row>
    <row r="68" customFormat="false" ht="24" hidden="false" customHeight="true" outlineLevel="0" collapsed="false">
      <c r="A68" s="69"/>
      <c r="B68" s="69"/>
      <c r="C68" s="69"/>
      <c r="D68" s="69"/>
      <c r="E68" s="69"/>
      <c r="F68" s="69"/>
      <c r="G68" s="69"/>
      <c r="H68" s="69"/>
      <c r="I68" s="69"/>
      <c r="J68" s="69"/>
    </row>
    <row r="69" customFormat="false" ht="24" hidden="false" customHeight="true" outlineLevel="0" collapsed="false">
      <c r="A69" s="68"/>
      <c r="B69" s="68"/>
      <c r="C69" s="68"/>
      <c r="D69" s="68"/>
      <c r="E69" s="68"/>
      <c r="F69" s="68"/>
      <c r="G69" s="68"/>
      <c r="H69" s="68"/>
      <c r="I69" s="68"/>
      <c r="J69" s="68"/>
    </row>
    <row r="70" customFormat="false" ht="24" hidden="false" customHeight="true" outlineLevel="0" collapsed="false">
      <c r="A70" s="69"/>
      <c r="B70" s="69"/>
      <c r="C70" s="69"/>
      <c r="D70" s="69"/>
      <c r="E70" s="69"/>
      <c r="F70" s="69"/>
      <c r="G70" s="69"/>
      <c r="H70" s="69"/>
      <c r="I70" s="69"/>
      <c r="J70" s="69"/>
    </row>
    <row r="71" customFormat="false" ht="24" hidden="false" customHeight="true" outlineLevel="0" collapsed="false">
      <c r="A71" s="68"/>
      <c r="B71" s="68"/>
      <c r="C71" s="68"/>
      <c r="D71" s="68"/>
      <c r="E71" s="68"/>
      <c r="F71" s="68"/>
      <c r="G71" s="68"/>
      <c r="H71" s="68"/>
      <c r="I71" s="68"/>
      <c r="J71" s="68"/>
    </row>
    <row r="72" customFormat="false" ht="24" hidden="false" customHeight="true" outlineLevel="0" collapsed="false">
      <c r="A72" s="69"/>
      <c r="B72" s="69"/>
      <c r="C72" s="69"/>
      <c r="D72" s="69"/>
      <c r="E72" s="69"/>
      <c r="F72" s="69"/>
      <c r="G72" s="69"/>
      <c r="H72" s="69"/>
      <c r="I72" s="69"/>
      <c r="J72" s="69"/>
    </row>
    <row r="73" customFormat="false" ht="24" hidden="false" customHeight="true" outlineLevel="0" collapsed="false">
      <c r="A73" s="68"/>
      <c r="B73" s="68"/>
      <c r="C73" s="68"/>
      <c r="D73" s="68"/>
      <c r="E73" s="68"/>
      <c r="F73" s="68"/>
      <c r="G73" s="68"/>
      <c r="H73" s="68"/>
      <c r="I73" s="68"/>
      <c r="J73" s="68"/>
    </row>
    <row r="74" customFormat="false" ht="24" hidden="false" customHeight="true" outlineLevel="0" collapsed="false">
      <c r="A74" s="69"/>
      <c r="B74" s="69"/>
      <c r="C74" s="69"/>
      <c r="D74" s="69"/>
      <c r="E74" s="69"/>
      <c r="F74" s="69"/>
      <c r="G74" s="69"/>
      <c r="H74" s="69"/>
      <c r="I74" s="69"/>
      <c r="J74" s="69"/>
    </row>
    <row r="75" customFormat="false" ht="24" hidden="false" customHeight="true" outlineLevel="0" collapsed="false">
      <c r="A75" s="68"/>
      <c r="B75" s="68"/>
      <c r="C75" s="68"/>
      <c r="D75" s="68"/>
      <c r="E75" s="68"/>
      <c r="F75" s="68"/>
      <c r="G75" s="68"/>
      <c r="H75" s="68"/>
      <c r="I75" s="68"/>
      <c r="J75" s="68"/>
    </row>
    <row r="76" customFormat="false" ht="24" hidden="false" customHeight="true" outlineLevel="0" collapsed="false">
      <c r="A76" s="69"/>
      <c r="B76" s="69"/>
      <c r="C76" s="69"/>
      <c r="D76" s="69"/>
      <c r="E76" s="69"/>
      <c r="F76" s="69"/>
      <c r="G76" s="69"/>
      <c r="H76" s="69"/>
      <c r="I76" s="69"/>
      <c r="J76" s="69"/>
    </row>
    <row r="77" customFormat="false" ht="24" hidden="false" customHeight="true" outlineLevel="0" collapsed="false">
      <c r="A77" s="68"/>
      <c r="B77" s="68"/>
      <c r="C77" s="68"/>
      <c r="D77" s="68"/>
      <c r="E77" s="68"/>
      <c r="F77" s="68"/>
      <c r="G77" s="68"/>
      <c r="H77" s="68"/>
      <c r="I77" s="68"/>
      <c r="J77" s="68"/>
    </row>
    <row r="78" customFormat="false" ht="24" hidden="false" customHeight="true" outlineLevel="0" collapsed="false">
      <c r="A78" s="69"/>
      <c r="B78" s="69"/>
      <c r="C78" s="69"/>
      <c r="D78" s="69"/>
      <c r="E78" s="69"/>
      <c r="F78" s="69"/>
      <c r="G78" s="69"/>
      <c r="H78" s="69"/>
      <c r="I78" s="69"/>
      <c r="J78" s="69"/>
    </row>
    <row r="79" customFormat="false" ht="24" hidden="false" customHeight="true" outlineLevel="0" collapsed="false">
      <c r="A79" s="68"/>
      <c r="B79" s="68"/>
      <c r="C79" s="68"/>
      <c r="D79" s="68"/>
      <c r="E79" s="68"/>
      <c r="F79" s="68"/>
      <c r="G79" s="68"/>
      <c r="H79" s="68"/>
      <c r="I79" s="68"/>
      <c r="J79" s="68"/>
    </row>
    <row r="80" customFormat="false" ht="24" hidden="false" customHeight="true" outlineLevel="0" collapsed="false">
      <c r="A80" s="69"/>
      <c r="B80" s="69"/>
      <c r="C80" s="69"/>
      <c r="D80" s="69"/>
      <c r="E80" s="69"/>
      <c r="F80" s="69"/>
      <c r="G80" s="69"/>
      <c r="H80" s="69"/>
      <c r="I80" s="69"/>
      <c r="J80" s="69"/>
    </row>
    <row r="81" customFormat="false" ht="24" hidden="false" customHeight="true" outlineLevel="0" collapsed="false">
      <c r="A81" s="68"/>
      <c r="B81" s="68"/>
      <c r="C81" s="68"/>
      <c r="D81" s="68"/>
      <c r="E81" s="68"/>
      <c r="F81" s="68"/>
      <c r="G81" s="68"/>
      <c r="H81" s="68"/>
      <c r="I81" s="68"/>
      <c r="J81" s="68"/>
    </row>
    <row r="82" customFormat="false" ht="24" hidden="false" customHeight="true" outlineLevel="0" collapsed="false">
      <c r="A82" s="69"/>
      <c r="B82" s="69"/>
      <c r="C82" s="69"/>
      <c r="D82" s="69"/>
      <c r="E82" s="69"/>
      <c r="F82" s="69"/>
      <c r="G82" s="69"/>
      <c r="H82" s="69"/>
      <c r="I82" s="69"/>
      <c r="J82" s="69"/>
    </row>
    <row r="83" customFormat="false" ht="24" hidden="false" customHeight="true" outlineLevel="0" collapsed="false">
      <c r="A83" s="68"/>
      <c r="B83" s="68"/>
      <c r="C83" s="68"/>
      <c r="D83" s="68"/>
      <c r="E83" s="68"/>
      <c r="F83" s="68"/>
      <c r="G83" s="68"/>
      <c r="H83" s="68"/>
      <c r="I83" s="68"/>
      <c r="J83" s="68"/>
    </row>
    <row r="84" customFormat="false" ht="24" hidden="false" customHeight="true" outlineLevel="0" collapsed="false">
      <c r="A84" s="69"/>
      <c r="B84" s="69"/>
      <c r="C84" s="69"/>
      <c r="D84" s="69"/>
      <c r="E84" s="69"/>
      <c r="F84" s="69"/>
      <c r="G84" s="69"/>
      <c r="H84" s="69"/>
      <c r="I84" s="69"/>
      <c r="J84" s="69"/>
    </row>
    <row r="85" customFormat="false" ht="24" hidden="false" customHeight="true" outlineLevel="0" collapsed="false">
      <c r="A85" s="68"/>
      <c r="B85" s="68"/>
      <c r="C85" s="68"/>
      <c r="D85" s="68"/>
      <c r="E85" s="68"/>
      <c r="F85" s="68"/>
      <c r="G85" s="68"/>
      <c r="H85" s="68"/>
      <c r="I85" s="68"/>
      <c r="J85" s="68"/>
    </row>
    <row r="86" customFormat="false" ht="24" hidden="false" customHeight="true" outlineLevel="0" collapsed="false">
      <c r="A86" s="69"/>
      <c r="B86" s="69"/>
      <c r="C86" s="69"/>
      <c r="D86" s="69"/>
      <c r="E86" s="69"/>
      <c r="F86" s="69"/>
      <c r="G86" s="69"/>
      <c r="H86" s="69"/>
      <c r="I86" s="69"/>
      <c r="J86" s="69"/>
    </row>
    <row r="87" customFormat="false" ht="24" hidden="false" customHeight="true" outlineLevel="0" collapsed="false">
      <c r="A87" s="68"/>
      <c r="B87" s="68"/>
      <c r="C87" s="68"/>
      <c r="D87" s="68"/>
      <c r="E87" s="68"/>
      <c r="F87" s="68"/>
      <c r="G87" s="68"/>
      <c r="H87" s="68"/>
      <c r="I87" s="68"/>
      <c r="J87" s="68"/>
    </row>
    <row r="88" customFormat="false" ht="24" hidden="false" customHeight="true" outlineLevel="0" collapsed="false">
      <c r="A88" s="69"/>
      <c r="B88" s="69"/>
      <c r="C88" s="69"/>
      <c r="D88" s="69"/>
      <c r="E88" s="69"/>
      <c r="F88" s="69"/>
      <c r="G88" s="69"/>
      <c r="H88" s="69"/>
      <c r="I88" s="69"/>
      <c r="J88" s="69"/>
    </row>
    <row r="89" customFormat="false" ht="24" hidden="false" customHeight="true" outlineLevel="0" collapsed="false">
      <c r="A89" s="68"/>
      <c r="B89" s="68"/>
      <c r="C89" s="68"/>
      <c r="D89" s="68"/>
      <c r="E89" s="68"/>
      <c r="F89" s="68"/>
      <c r="G89" s="68"/>
      <c r="H89" s="68"/>
      <c r="I89" s="68"/>
      <c r="J89" s="68"/>
    </row>
    <row r="90" customFormat="false" ht="24" hidden="false" customHeight="true" outlineLevel="0" collapsed="false">
      <c r="A90" s="69"/>
      <c r="B90" s="69"/>
      <c r="C90" s="69"/>
      <c r="D90" s="69"/>
      <c r="E90" s="69"/>
      <c r="F90" s="69"/>
      <c r="G90" s="69"/>
      <c r="H90" s="69"/>
      <c r="I90" s="69"/>
      <c r="J90" s="69"/>
    </row>
    <row r="91" customFormat="false" ht="24" hidden="false" customHeight="true" outlineLevel="0" collapsed="false">
      <c r="A91" s="68"/>
      <c r="B91" s="68"/>
      <c r="C91" s="68"/>
      <c r="D91" s="68"/>
      <c r="E91" s="68"/>
      <c r="F91" s="68"/>
      <c r="G91" s="68"/>
      <c r="H91" s="68"/>
      <c r="I91" s="68"/>
      <c r="J91" s="68"/>
    </row>
    <row r="92" customFormat="false" ht="24" hidden="false" customHeight="true" outlineLevel="0" collapsed="false">
      <c r="A92" s="69"/>
      <c r="B92" s="69"/>
      <c r="C92" s="69"/>
      <c r="D92" s="69"/>
      <c r="E92" s="69"/>
      <c r="F92" s="69"/>
      <c r="G92" s="69"/>
      <c r="H92" s="69"/>
      <c r="I92" s="69"/>
      <c r="J92" s="69"/>
    </row>
    <row r="93" customFormat="false" ht="24" hidden="false" customHeight="true" outlineLevel="0" collapsed="false">
      <c r="A93" s="68"/>
      <c r="B93" s="68"/>
      <c r="C93" s="68"/>
      <c r="D93" s="68"/>
      <c r="E93" s="68"/>
      <c r="F93" s="68"/>
      <c r="G93" s="68"/>
      <c r="H93" s="68"/>
      <c r="I93" s="68"/>
      <c r="J93" s="68"/>
    </row>
    <row r="94" customFormat="false" ht="24" hidden="false" customHeight="true" outlineLevel="0" collapsed="false">
      <c r="A94" s="69"/>
      <c r="B94" s="69"/>
      <c r="C94" s="69"/>
      <c r="D94" s="69"/>
      <c r="E94" s="69"/>
      <c r="F94" s="69"/>
      <c r="G94" s="69"/>
      <c r="H94" s="69"/>
      <c r="I94" s="69"/>
      <c r="J94" s="69"/>
    </row>
    <row r="95" customFormat="false" ht="24" hidden="false" customHeight="true" outlineLevel="0" collapsed="false">
      <c r="A95" s="68"/>
      <c r="B95" s="68"/>
      <c r="C95" s="68"/>
      <c r="D95" s="68"/>
      <c r="E95" s="68"/>
      <c r="F95" s="68"/>
      <c r="G95" s="68"/>
      <c r="H95" s="68"/>
      <c r="I95" s="68"/>
      <c r="J95" s="68"/>
    </row>
    <row r="96" customFormat="false" ht="24" hidden="false" customHeight="true" outlineLevel="0" collapsed="false">
      <c r="A96" s="69"/>
      <c r="B96" s="69"/>
      <c r="C96" s="69"/>
      <c r="D96" s="69"/>
      <c r="E96" s="69"/>
      <c r="F96" s="69"/>
      <c r="G96" s="69"/>
      <c r="H96" s="69"/>
      <c r="I96" s="69"/>
      <c r="J96" s="69"/>
    </row>
    <row r="97" customFormat="false" ht="24" hidden="false" customHeight="true" outlineLevel="0" collapsed="false">
      <c r="A97" s="68"/>
      <c r="B97" s="68"/>
      <c r="C97" s="68"/>
      <c r="D97" s="68"/>
      <c r="E97" s="68"/>
      <c r="F97" s="68"/>
      <c r="G97" s="68"/>
      <c r="H97" s="68"/>
      <c r="I97" s="68"/>
      <c r="J97" s="68"/>
    </row>
    <row r="98" customFormat="false" ht="24" hidden="false" customHeight="true" outlineLevel="0" collapsed="false">
      <c r="A98" s="69"/>
      <c r="B98" s="69"/>
      <c r="C98" s="69"/>
      <c r="D98" s="69"/>
      <c r="E98" s="69"/>
      <c r="F98" s="69"/>
      <c r="G98" s="69"/>
      <c r="H98" s="69"/>
      <c r="I98" s="69"/>
      <c r="J98" s="69"/>
    </row>
    <row r="99" customFormat="false" ht="24" hidden="false" customHeight="true" outlineLevel="0" collapsed="false">
      <c r="A99" s="68"/>
      <c r="B99" s="68"/>
      <c r="C99" s="68"/>
      <c r="D99" s="68"/>
      <c r="E99" s="68"/>
      <c r="F99" s="68"/>
      <c r="G99" s="68"/>
      <c r="H99" s="68"/>
      <c r="I99" s="68"/>
      <c r="J99" s="68"/>
    </row>
    <row r="100" customFormat="false" ht="24" hidden="false" customHeight="true" outlineLevel="0" collapsed="false">
      <c r="A100" s="69"/>
      <c r="B100" s="69"/>
      <c r="C100" s="69"/>
      <c r="D100" s="69"/>
      <c r="E100" s="69"/>
      <c r="F100" s="69"/>
      <c r="G100" s="69"/>
      <c r="H100" s="69"/>
      <c r="I100" s="69"/>
      <c r="J100" s="69"/>
    </row>
    <row r="101" customFormat="false" ht="24" hidden="false" customHeight="true" outlineLevel="0" collapsed="false">
      <c r="A101" s="68"/>
      <c r="B101" s="68"/>
      <c r="C101" s="68"/>
      <c r="D101" s="68"/>
      <c r="E101" s="68"/>
      <c r="F101" s="68"/>
      <c r="G101" s="68"/>
      <c r="H101" s="68"/>
      <c r="I101" s="68"/>
      <c r="J101" s="68"/>
    </row>
    <row r="102" customFormat="false" ht="24" hidden="false" customHeight="true" outlineLevel="0" collapsed="false">
      <c r="A102" s="69"/>
      <c r="B102" s="69"/>
      <c r="C102" s="69"/>
      <c r="D102" s="69"/>
      <c r="E102" s="69"/>
      <c r="F102" s="69"/>
      <c r="G102" s="69"/>
      <c r="H102" s="69"/>
      <c r="I102" s="69"/>
      <c r="J102" s="69"/>
    </row>
    <row r="103" customFormat="false" ht="24" hidden="false" customHeight="true" outlineLevel="0" collapsed="false">
      <c r="A103" s="68"/>
      <c r="B103" s="68"/>
      <c r="C103" s="68"/>
      <c r="D103" s="68"/>
      <c r="E103" s="68"/>
      <c r="F103" s="68"/>
      <c r="G103" s="68"/>
      <c r="H103" s="68"/>
      <c r="I103" s="68"/>
      <c r="J103" s="68"/>
    </row>
    <row r="104" customFormat="false" ht="24" hidden="false" customHeight="true" outlineLevel="0" collapsed="false">
      <c r="A104" s="69"/>
      <c r="B104" s="69"/>
      <c r="C104" s="69"/>
      <c r="D104" s="69"/>
      <c r="E104" s="69"/>
      <c r="F104" s="69"/>
      <c r="G104" s="69"/>
      <c r="H104" s="69"/>
      <c r="I104" s="69"/>
      <c r="J104" s="69"/>
    </row>
    <row r="105" customFormat="false" ht="24" hidden="false" customHeight="true" outlineLevel="0" collapsed="false">
      <c r="A105" s="68"/>
      <c r="B105" s="68"/>
      <c r="C105" s="68"/>
      <c r="D105" s="68"/>
      <c r="E105" s="68"/>
      <c r="F105" s="68"/>
      <c r="G105" s="68"/>
      <c r="H105" s="68"/>
      <c r="I105" s="68"/>
      <c r="J105" s="68"/>
    </row>
    <row r="106" customFormat="false" ht="24" hidden="false" customHeight="true" outlineLevel="0" collapsed="false">
      <c r="A106" s="69"/>
      <c r="B106" s="69"/>
      <c r="C106" s="69"/>
      <c r="D106" s="69"/>
      <c r="E106" s="69"/>
      <c r="F106" s="69"/>
      <c r="G106" s="69"/>
      <c r="H106" s="69"/>
      <c r="I106" s="69"/>
      <c r="J106" s="69"/>
    </row>
    <row r="108" customFormat="false" ht="19.5" hidden="false" customHeight="true" outlineLevel="0" collapsed="false">
      <c r="A108" s="23" t="s">
        <v>207</v>
      </c>
      <c r="B108" s="23"/>
      <c r="C108" s="23"/>
      <c r="D108" s="23"/>
      <c r="E108" s="23"/>
      <c r="F108" s="23"/>
      <c r="G108" s="23"/>
      <c r="H108" s="23"/>
      <c r="I108" s="23"/>
      <c r="J108" s="23"/>
    </row>
    <row r="109" customFormat="false" ht="19.5" hidden="false" customHeight="true" outlineLevel="0" collapsed="false">
      <c r="A109" s="24" t="s">
        <v>202</v>
      </c>
      <c r="B109" s="70" t="s">
        <v>208</v>
      </c>
      <c r="C109" s="70"/>
      <c r="D109" s="70"/>
      <c r="E109" s="70"/>
      <c r="F109" s="70"/>
      <c r="G109" s="70"/>
      <c r="H109" s="70"/>
      <c r="I109" s="70"/>
      <c r="J109" s="70"/>
    </row>
    <row r="110" customFormat="false" ht="19.5" hidden="false" customHeight="true" outlineLevel="0" collapsed="false">
      <c r="A110" s="49" t="s">
        <v>209</v>
      </c>
      <c r="B110" s="71" t="s">
        <v>210</v>
      </c>
      <c r="C110" s="71"/>
      <c r="D110" s="71"/>
      <c r="E110" s="71"/>
      <c r="F110" s="71"/>
      <c r="G110" s="71"/>
      <c r="H110" s="71"/>
      <c r="I110" s="71"/>
      <c r="J110" s="71"/>
    </row>
    <row r="111" customFormat="false" ht="19.5" hidden="false" customHeight="true" outlineLevel="0" collapsed="false">
      <c r="A111" s="25" t="s">
        <v>195</v>
      </c>
      <c r="B111" s="72" t="s">
        <v>211</v>
      </c>
      <c r="C111" s="72"/>
      <c r="D111" s="72"/>
      <c r="E111" s="72"/>
      <c r="F111" s="72"/>
      <c r="G111" s="72"/>
      <c r="H111" s="72"/>
      <c r="I111" s="72"/>
      <c r="J111" s="72"/>
    </row>
    <row r="112" customFormat="false" ht="19.5" hidden="false" customHeight="true" outlineLevel="0" collapsed="false">
      <c r="A112" s="37" t="s">
        <v>197</v>
      </c>
      <c r="B112" s="59" t="s">
        <v>212</v>
      </c>
      <c r="C112" s="59"/>
      <c r="D112" s="59"/>
      <c r="E112" s="59"/>
      <c r="F112" s="59"/>
      <c r="G112" s="59"/>
      <c r="H112" s="59"/>
      <c r="I112" s="59"/>
      <c r="J112" s="59"/>
    </row>
    <row r="113" customFormat="false" ht="19.5" hidden="false" customHeight="true" outlineLevel="0" collapsed="false">
      <c r="A113" s="26" t="s">
        <v>204</v>
      </c>
      <c r="B113" s="73" t="s">
        <v>213</v>
      </c>
      <c r="C113" s="73"/>
      <c r="D113" s="73"/>
      <c r="E113" s="73"/>
      <c r="F113" s="73"/>
      <c r="G113" s="73"/>
      <c r="H113" s="73"/>
      <c r="I113" s="73"/>
      <c r="J113" s="73"/>
    </row>
  </sheetData>
  <mergeCells count="10">
    <mergeCell ref="A1:J1"/>
    <mergeCell ref="A2:J2"/>
    <mergeCell ref="A3:J3"/>
    <mergeCell ref="A5:J5"/>
    <mergeCell ref="A108:J108"/>
    <mergeCell ref="B109:J109"/>
    <mergeCell ref="B110:J110"/>
    <mergeCell ref="B111:J111"/>
    <mergeCell ref="B112:J112"/>
    <mergeCell ref="B113:J1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14" min="3" style="0" width="14"/>
    <col collapsed="false" customWidth="true" hidden="false" outlineLevel="0" max="15" min="15" style="0" width="20"/>
  </cols>
  <sheetData>
    <row r="1" customFormat="false" ht="33.75" hidden="false" customHeight="true" outlineLevel="0" collapsed="false">
      <c r="A1" s="28" t="s">
        <v>214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customFormat="false" ht="19.5" hidden="false" customHeight="true" outlineLevel="0" collapsed="false">
      <c r="A2" s="74" t="s">
        <v>215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customFormat="false" ht="36" hidden="false" customHeight="true" outlineLevel="0" collapsed="false">
      <c r="A3" s="7" t="s">
        <v>216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customFormat="false" ht="25.5" hidden="false" customHeight="true" outlineLevel="0" collapsed="false">
      <c r="A4" s="75" t="s">
        <v>217</v>
      </c>
      <c r="B4" s="29" t="s">
        <v>218</v>
      </c>
      <c r="C4" s="76" t="s">
        <v>219</v>
      </c>
      <c r="D4" s="77" t="s">
        <v>220</v>
      </c>
      <c r="E4" s="76" t="s">
        <v>221</v>
      </c>
      <c r="F4" s="77" t="s">
        <v>222</v>
      </c>
      <c r="G4" s="76" t="s">
        <v>223</v>
      </c>
      <c r="H4" s="77" t="s">
        <v>224</v>
      </c>
      <c r="I4" s="76" t="s">
        <v>225</v>
      </c>
      <c r="J4" s="77" t="s">
        <v>226</v>
      </c>
      <c r="K4" s="76" t="s">
        <v>227</v>
      </c>
      <c r="L4" s="77" t="s">
        <v>228</v>
      </c>
      <c r="M4" s="76" t="s">
        <v>229</v>
      </c>
      <c r="N4" s="77" t="s">
        <v>230</v>
      </c>
      <c r="O4" s="17" t="s">
        <v>231</v>
      </c>
    </row>
    <row r="5" customFormat="false" ht="43.5" hidden="false" customHeight="true" outlineLevel="0" collapsed="false">
      <c r="A5" s="78" t="s">
        <v>91</v>
      </c>
      <c r="B5" s="37" t="s">
        <v>232</v>
      </c>
      <c r="C5" s="79" t="s">
        <v>233</v>
      </c>
      <c r="D5" s="79" t="s">
        <v>234</v>
      </c>
      <c r="E5" s="80"/>
      <c r="F5" s="79" t="s">
        <v>235</v>
      </c>
      <c r="G5" s="80"/>
      <c r="H5" s="79" t="s">
        <v>236</v>
      </c>
      <c r="I5" s="80"/>
      <c r="J5" s="79" t="s">
        <v>237</v>
      </c>
      <c r="K5" s="79" t="s">
        <v>238</v>
      </c>
      <c r="L5" s="80"/>
      <c r="M5" s="79" t="s">
        <v>239</v>
      </c>
      <c r="N5" s="79" t="s">
        <v>240</v>
      </c>
      <c r="O5" s="81" t="s">
        <v>241</v>
      </c>
    </row>
    <row r="6" customFormat="false" ht="43.5" hidden="false" customHeight="true" outlineLevel="0" collapsed="false">
      <c r="A6" s="82" t="s">
        <v>84</v>
      </c>
      <c r="B6" s="37" t="s">
        <v>232</v>
      </c>
      <c r="C6" s="79" t="s">
        <v>242</v>
      </c>
      <c r="D6" s="83"/>
      <c r="E6" s="79" t="s">
        <v>243</v>
      </c>
      <c r="F6" s="83"/>
      <c r="G6" s="79" t="s">
        <v>244</v>
      </c>
      <c r="H6" s="83"/>
      <c r="I6" s="79" t="s">
        <v>234</v>
      </c>
      <c r="J6" s="83"/>
      <c r="K6" s="79" t="s">
        <v>235</v>
      </c>
      <c r="L6" s="83"/>
      <c r="M6" s="79" t="s">
        <v>239</v>
      </c>
      <c r="N6" s="79" t="s">
        <v>245</v>
      </c>
      <c r="O6" s="81" t="s">
        <v>246</v>
      </c>
    </row>
    <row r="7" customFormat="false" ht="43.5" hidden="false" customHeight="true" outlineLevel="0" collapsed="false">
      <c r="A7" s="78" t="s">
        <v>103</v>
      </c>
      <c r="B7" s="25" t="s">
        <v>247</v>
      </c>
      <c r="C7" s="79" t="s">
        <v>233</v>
      </c>
      <c r="D7" s="80"/>
      <c r="E7" s="79" t="s">
        <v>234</v>
      </c>
      <c r="F7" s="80"/>
      <c r="G7" s="79" t="s">
        <v>235</v>
      </c>
      <c r="H7" s="80"/>
      <c r="I7" s="79" t="s">
        <v>236</v>
      </c>
      <c r="J7" s="80"/>
      <c r="K7" s="80"/>
      <c r="L7" s="79" t="s">
        <v>239</v>
      </c>
      <c r="M7" s="80"/>
      <c r="N7" s="79" t="s">
        <v>240</v>
      </c>
      <c r="O7" s="81" t="s">
        <v>248</v>
      </c>
    </row>
    <row r="8" customFormat="false" ht="43.5" hidden="false" customHeight="true" outlineLevel="0" collapsed="false">
      <c r="A8" s="82" t="s">
        <v>98</v>
      </c>
      <c r="B8" s="25" t="s">
        <v>247</v>
      </c>
      <c r="C8" s="83"/>
      <c r="D8" s="83"/>
      <c r="E8" s="83"/>
      <c r="F8" s="83"/>
      <c r="G8" s="79" t="s">
        <v>249</v>
      </c>
      <c r="H8" s="83"/>
      <c r="I8" s="79" t="s">
        <v>234</v>
      </c>
      <c r="J8" s="83"/>
      <c r="K8" s="79" t="s">
        <v>235</v>
      </c>
      <c r="L8" s="83"/>
      <c r="M8" s="79" t="s">
        <v>250</v>
      </c>
      <c r="N8" s="79" t="s">
        <v>251</v>
      </c>
      <c r="O8" s="81" t="s">
        <v>252</v>
      </c>
    </row>
    <row r="9" customFormat="false" ht="43.5" hidden="false" customHeight="true" outlineLevel="0" collapsed="false">
      <c r="A9" s="78" t="s">
        <v>109</v>
      </c>
      <c r="B9" s="49" t="s">
        <v>253</v>
      </c>
      <c r="C9" s="79" t="s">
        <v>254</v>
      </c>
      <c r="D9" s="80"/>
      <c r="E9" s="79" t="s">
        <v>255</v>
      </c>
      <c r="F9" s="80"/>
      <c r="G9" s="80"/>
      <c r="H9" s="79" t="s">
        <v>256</v>
      </c>
      <c r="I9" s="80"/>
      <c r="J9" s="80"/>
      <c r="K9" s="79" t="s">
        <v>238</v>
      </c>
      <c r="L9" s="80"/>
      <c r="M9" s="79" t="s">
        <v>240</v>
      </c>
      <c r="N9" s="80"/>
      <c r="O9" s="81" t="s">
        <v>257</v>
      </c>
    </row>
    <row r="10" customFormat="false" ht="43.5" hidden="false" customHeight="true" outlineLevel="0" collapsed="false">
      <c r="A10" s="82" t="s">
        <v>258</v>
      </c>
      <c r="B10" s="49" t="s">
        <v>253</v>
      </c>
      <c r="C10" s="79" t="s">
        <v>259</v>
      </c>
      <c r="D10" s="83"/>
      <c r="E10" s="83"/>
      <c r="F10" s="79" t="s">
        <v>234</v>
      </c>
      <c r="G10" s="83"/>
      <c r="H10" s="83"/>
      <c r="I10" s="79" t="s">
        <v>235</v>
      </c>
      <c r="J10" s="83"/>
      <c r="K10" s="83"/>
      <c r="L10" s="79" t="s">
        <v>260</v>
      </c>
      <c r="M10" s="83"/>
      <c r="N10" s="79" t="s">
        <v>240</v>
      </c>
      <c r="O10" s="81" t="s">
        <v>261</v>
      </c>
    </row>
    <row r="11" customFormat="false" ht="43.5" hidden="false" customHeight="true" outlineLevel="0" collapsed="false">
      <c r="A11" s="78" t="s">
        <v>262</v>
      </c>
      <c r="B11" s="37" t="s">
        <v>232</v>
      </c>
      <c r="C11" s="79" t="s">
        <v>233</v>
      </c>
      <c r="D11" s="79" t="s">
        <v>234</v>
      </c>
      <c r="E11" s="79" t="s">
        <v>263</v>
      </c>
      <c r="F11" s="80"/>
      <c r="G11" s="79" t="s">
        <v>243</v>
      </c>
      <c r="H11" s="79" t="s">
        <v>236</v>
      </c>
      <c r="I11" s="80"/>
      <c r="J11" s="79" t="s">
        <v>237</v>
      </c>
      <c r="K11" s="79" t="s">
        <v>238</v>
      </c>
      <c r="L11" s="80"/>
      <c r="M11" s="79" t="s">
        <v>239</v>
      </c>
      <c r="N11" s="79" t="s">
        <v>245</v>
      </c>
      <c r="O11" s="81" t="s">
        <v>264</v>
      </c>
    </row>
    <row r="12" customFormat="false" ht="43.5" hidden="false" customHeight="true" outlineLevel="0" collapsed="false">
      <c r="A12" s="82" t="s">
        <v>265</v>
      </c>
      <c r="B12" s="37" t="s">
        <v>232</v>
      </c>
      <c r="C12" s="79" t="s">
        <v>259</v>
      </c>
      <c r="D12" s="83"/>
      <c r="E12" s="79" t="s">
        <v>266</v>
      </c>
      <c r="F12" s="83"/>
      <c r="G12" s="79" t="s">
        <v>235</v>
      </c>
      <c r="H12" s="79" t="s">
        <v>267</v>
      </c>
      <c r="I12" s="83"/>
      <c r="J12" s="83"/>
      <c r="K12" s="79" t="s">
        <v>238</v>
      </c>
      <c r="L12" s="83"/>
      <c r="M12" s="79" t="s">
        <v>268</v>
      </c>
      <c r="N12" s="79" t="s">
        <v>269</v>
      </c>
      <c r="O12" s="81" t="s">
        <v>270</v>
      </c>
    </row>
    <row r="13" customFormat="false" ht="36" hidden="false" customHeight="true" outlineLevel="0" collapsed="false">
      <c r="A13" s="68"/>
      <c r="B13" s="68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8"/>
    </row>
    <row r="14" customFormat="false" ht="36" hidden="false" customHeight="true" outlineLevel="0" collapsed="false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</row>
    <row r="15" customFormat="false" ht="36" hidden="false" customHeight="true" outlineLevel="0" collapsed="false">
      <c r="A15" s="68"/>
      <c r="B15" s="68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8"/>
    </row>
    <row r="16" customFormat="false" ht="36" hidden="false" customHeight="true" outlineLevel="0" collapsed="false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</row>
    <row r="17" customFormat="false" ht="36" hidden="false" customHeight="true" outlineLevel="0" collapsed="false">
      <c r="A17" s="68"/>
      <c r="B17" s="68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8"/>
    </row>
    <row r="18" customFormat="false" ht="36" hidden="false" customHeight="true" outlineLevel="0" collapsed="false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</row>
    <row r="19" customFormat="false" ht="36" hidden="false" customHeight="true" outlineLevel="0" collapsed="false">
      <c r="A19" s="68"/>
      <c r="B19" s="68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8"/>
    </row>
    <row r="20" customFormat="false" ht="36" hidden="false" customHeight="true" outlineLevel="0" collapsed="false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</row>
    <row r="21" customFormat="false" ht="36" hidden="false" customHeight="true" outlineLevel="0" collapsed="false">
      <c r="A21" s="68"/>
      <c r="B21" s="68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8"/>
    </row>
    <row r="22" customFormat="false" ht="36" hidden="false" customHeight="true" outlineLevel="0" collapsed="false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</row>
    <row r="23" customFormat="false" ht="36" hidden="false" customHeight="true" outlineLevel="0" collapsed="false">
      <c r="A23" s="68"/>
      <c r="B23" s="68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8"/>
    </row>
    <row r="24" customFormat="false" ht="36" hidden="false" customHeight="true" outlineLevel="0" collapsed="false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</row>
    <row r="25" customFormat="false" ht="36" hidden="false" customHeight="true" outlineLevel="0" collapsed="false">
      <c r="A25" s="68"/>
      <c r="B25" s="68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8"/>
    </row>
    <row r="26" customFormat="false" ht="36" hidden="false" customHeight="true" outlineLevel="0" collapsed="false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</row>
    <row r="27" customFormat="false" ht="36" hidden="false" customHeight="true" outlineLevel="0" collapsed="false">
      <c r="A27" s="68"/>
      <c r="B27" s="68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8"/>
    </row>
    <row r="28" customFormat="false" ht="36" hidden="false" customHeight="true" outlineLevel="0" collapsed="false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</row>
    <row r="29" customFormat="false" ht="36" hidden="false" customHeight="true" outlineLevel="0" collapsed="false">
      <c r="A29" s="68"/>
      <c r="B29" s="68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8"/>
    </row>
    <row r="30" customFormat="false" ht="36" hidden="false" customHeight="true" outlineLevel="0" collapsed="false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</row>
    <row r="31" customFormat="false" ht="36" hidden="false" customHeight="true" outlineLevel="0" collapsed="false">
      <c r="A31" s="68"/>
      <c r="B31" s="68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8"/>
    </row>
    <row r="32" customFormat="false" ht="36" hidden="false" customHeight="true" outlineLevel="0" collapsed="false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</row>
    <row r="33" customFormat="false" ht="36" hidden="false" customHeight="true" outlineLevel="0" collapsed="false">
      <c r="A33" s="68"/>
      <c r="B33" s="68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8"/>
    </row>
    <row r="34" customFormat="false" ht="36" hidden="false" customHeight="true" outlineLevel="0" collapsed="false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</row>
    <row r="35" customFormat="false" ht="36" hidden="false" customHeight="true" outlineLevel="0" collapsed="false">
      <c r="A35" s="68"/>
      <c r="B35" s="68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8"/>
    </row>
    <row r="36" customFormat="false" ht="36" hidden="false" customHeight="true" outlineLevel="0" collapsed="false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</row>
    <row r="37" customFormat="false" ht="36" hidden="false" customHeight="true" outlineLevel="0" collapsed="false">
      <c r="A37" s="68"/>
      <c r="B37" s="68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8"/>
    </row>
    <row r="38" customFormat="false" ht="36" hidden="false" customHeight="true" outlineLevel="0" collapsed="false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</row>
    <row r="39" customFormat="false" ht="36" hidden="false" customHeight="true" outlineLevel="0" collapsed="false">
      <c r="A39" s="68"/>
      <c r="B39" s="68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8"/>
    </row>
    <row r="40" customFormat="false" ht="36" hidden="false" customHeight="true" outlineLevel="0" collapsed="false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</row>
    <row r="41" customFormat="false" ht="36" hidden="false" customHeight="true" outlineLevel="0" collapsed="false">
      <c r="A41" s="68"/>
      <c r="B41" s="68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8"/>
    </row>
    <row r="42" customFormat="false" ht="36" hidden="false" customHeight="true" outlineLevel="0" collapsed="false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</row>
    <row r="43" customFormat="false" ht="36" hidden="false" customHeight="true" outlineLevel="0" collapsed="false">
      <c r="A43" s="68"/>
      <c r="B43" s="68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8"/>
    </row>
    <row r="44" customFormat="false" ht="36" hidden="false" customHeight="true" outlineLevel="0" collapsed="false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</row>
    <row r="46" customFormat="false" ht="19.5" hidden="false" customHeight="true" outlineLevel="0" collapsed="false">
      <c r="A46" s="23" t="s">
        <v>271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</row>
    <row r="47" customFormat="false" ht="19.5" hidden="false" customHeight="true" outlineLevel="0" collapsed="false">
      <c r="A47" s="84" t="s">
        <v>272</v>
      </c>
      <c r="B47" s="85" t="s">
        <v>273</v>
      </c>
      <c r="C47" s="85"/>
      <c r="D47" s="85"/>
      <c r="E47" s="85"/>
      <c r="F47" s="85"/>
      <c r="G47" s="85"/>
      <c r="H47" s="84" t="s">
        <v>274</v>
      </c>
      <c r="I47" s="85" t="s">
        <v>275</v>
      </c>
      <c r="J47" s="85"/>
      <c r="K47" s="85"/>
      <c r="L47" s="85"/>
      <c r="M47" s="85"/>
      <c r="N47" s="85"/>
      <c r="O47" s="85"/>
    </row>
    <row r="48" customFormat="false" ht="19.5" hidden="false" customHeight="true" outlineLevel="0" collapsed="false">
      <c r="A48" s="84" t="s">
        <v>276</v>
      </c>
      <c r="B48" s="85" t="s">
        <v>277</v>
      </c>
      <c r="C48" s="85"/>
      <c r="D48" s="85"/>
      <c r="E48" s="85"/>
      <c r="F48" s="85"/>
      <c r="G48" s="85"/>
      <c r="H48" s="84" t="s">
        <v>278</v>
      </c>
      <c r="I48" s="85" t="s">
        <v>279</v>
      </c>
      <c r="J48" s="85"/>
      <c r="K48" s="85"/>
      <c r="L48" s="85"/>
      <c r="M48" s="85"/>
      <c r="N48" s="85"/>
      <c r="O48" s="85"/>
    </row>
    <row r="49" customFormat="false" ht="19.5" hidden="false" customHeight="true" outlineLevel="0" collapsed="false">
      <c r="A49" s="84" t="s">
        <v>166</v>
      </c>
      <c r="B49" s="85" t="s">
        <v>280</v>
      </c>
      <c r="C49" s="85"/>
      <c r="D49" s="85"/>
      <c r="E49" s="85"/>
      <c r="F49" s="85"/>
      <c r="G49" s="85"/>
      <c r="H49" s="84" t="s">
        <v>154</v>
      </c>
      <c r="I49" s="85" t="s">
        <v>281</v>
      </c>
      <c r="J49" s="85"/>
      <c r="K49" s="85"/>
      <c r="L49" s="85"/>
      <c r="M49" s="85"/>
      <c r="N49" s="85"/>
      <c r="O49" s="85"/>
    </row>
    <row r="50" customFormat="false" ht="19.5" hidden="false" customHeight="true" outlineLevel="0" collapsed="false">
      <c r="A50" s="84" t="s">
        <v>282</v>
      </c>
      <c r="B50" s="85" t="s">
        <v>283</v>
      </c>
      <c r="C50" s="85"/>
      <c r="D50" s="85"/>
      <c r="E50" s="85"/>
      <c r="F50" s="85"/>
      <c r="G50" s="85"/>
      <c r="H50" s="84" t="s">
        <v>284</v>
      </c>
      <c r="I50" s="85" t="s">
        <v>285</v>
      </c>
      <c r="J50" s="85"/>
      <c r="K50" s="85"/>
      <c r="L50" s="85"/>
      <c r="M50" s="85"/>
      <c r="N50" s="85"/>
      <c r="O50" s="85"/>
    </row>
    <row r="51" customFormat="false" ht="19.5" hidden="false" customHeight="true" outlineLevel="0" collapsed="false">
      <c r="A51" s="84" t="s">
        <v>286</v>
      </c>
      <c r="B51" s="85" t="s">
        <v>287</v>
      </c>
      <c r="C51" s="85"/>
      <c r="D51" s="85"/>
      <c r="E51" s="85"/>
      <c r="F51" s="85"/>
      <c r="G51" s="85"/>
      <c r="H51" s="84" t="s">
        <v>288</v>
      </c>
      <c r="I51" s="85" t="s">
        <v>289</v>
      </c>
      <c r="J51" s="85"/>
      <c r="K51" s="85"/>
      <c r="L51" s="85"/>
      <c r="M51" s="85"/>
      <c r="N51" s="85"/>
      <c r="O51" s="85"/>
    </row>
    <row r="52" customFormat="false" ht="19.5" hidden="false" customHeight="true" outlineLevel="0" collapsed="false">
      <c r="A52" s="84" t="s">
        <v>290</v>
      </c>
      <c r="B52" s="85" t="s">
        <v>291</v>
      </c>
      <c r="C52" s="85"/>
      <c r="D52" s="85"/>
      <c r="E52" s="85"/>
      <c r="F52" s="85"/>
      <c r="G52" s="85"/>
      <c r="H52" s="84" t="s">
        <v>245</v>
      </c>
      <c r="I52" s="85" t="s">
        <v>292</v>
      </c>
      <c r="J52" s="85"/>
      <c r="K52" s="85"/>
      <c r="L52" s="85"/>
      <c r="M52" s="85"/>
      <c r="N52" s="85"/>
      <c r="O52" s="85"/>
    </row>
  </sheetData>
  <mergeCells count="16">
    <mergeCell ref="A1:O1"/>
    <mergeCell ref="A2:O2"/>
    <mergeCell ref="A3:O3"/>
    <mergeCell ref="A46:O46"/>
    <mergeCell ref="B47:G47"/>
    <mergeCell ref="I47:O47"/>
    <mergeCell ref="B48:G48"/>
    <mergeCell ref="I48:O48"/>
    <mergeCell ref="B49:G49"/>
    <mergeCell ref="I49:O49"/>
    <mergeCell ref="B50:G50"/>
    <mergeCell ref="I50:O50"/>
    <mergeCell ref="B51:G51"/>
    <mergeCell ref="I51:O51"/>
    <mergeCell ref="B52:G52"/>
    <mergeCell ref="I52:O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6"/>
    <col collapsed="false" customWidth="true" hidden="false" outlineLevel="0" max="7" min="7" style="0" width="24"/>
  </cols>
  <sheetData>
    <row r="1" customFormat="false" ht="33.75" hidden="false" customHeight="true" outlineLevel="0" collapsed="false">
      <c r="A1" s="28" t="s">
        <v>293</v>
      </c>
      <c r="B1" s="28"/>
      <c r="C1" s="28"/>
      <c r="D1" s="28"/>
      <c r="E1" s="28"/>
      <c r="F1" s="28"/>
      <c r="G1" s="28"/>
    </row>
    <row r="2" customFormat="false" ht="19.5" hidden="false" customHeight="true" outlineLevel="0" collapsed="false">
      <c r="A2" s="74" t="s">
        <v>294</v>
      </c>
      <c r="B2" s="74"/>
      <c r="C2" s="74"/>
      <c r="D2" s="74"/>
      <c r="E2" s="74"/>
      <c r="F2" s="74"/>
      <c r="G2" s="74"/>
    </row>
    <row r="3" customFormat="false" ht="39.75" hidden="false" customHeight="true" outlineLevel="0" collapsed="false">
      <c r="A3" s="7" t="s">
        <v>295</v>
      </c>
      <c r="B3" s="7"/>
      <c r="C3" s="7"/>
      <c r="D3" s="7"/>
      <c r="E3" s="7"/>
      <c r="F3" s="7"/>
      <c r="G3" s="7"/>
    </row>
    <row r="4" customFormat="false" ht="27.75" hidden="false" customHeight="true" outlineLevel="0" collapsed="false">
      <c r="A4" s="75" t="s">
        <v>296</v>
      </c>
      <c r="B4" s="76" t="s">
        <v>297</v>
      </c>
      <c r="C4" s="77" t="s">
        <v>298</v>
      </c>
      <c r="D4" s="76" t="s">
        <v>299</v>
      </c>
      <c r="E4" s="77" t="s">
        <v>300</v>
      </c>
      <c r="F4" s="76" t="s">
        <v>301</v>
      </c>
      <c r="G4" s="17" t="s">
        <v>302</v>
      </c>
    </row>
    <row r="5" customFormat="false" ht="21.75" hidden="false" customHeight="true" outlineLevel="0" collapsed="false">
      <c r="A5" s="86" t="s">
        <v>303</v>
      </c>
      <c r="B5" s="86"/>
      <c r="C5" s="86"/>
      <c r="D5" s="86"/>
      <c r="E5" s="86"/>
      <c r="F5" s="86"/>
      <c r="G5" s="86"/>
    </row>
    <row r="6" customFormat="false" ht="24" hidden="false" customHeight="true" outlineLevel="0" collapsed="false">
      <c r="A6" s="87" t="s">
        <v>304</v>
      </c>
      <c r="B6" s="88"/>
      <c r="C6" s="88"/>
      <c r="D6" s="88"/>
      <c r="E6" s="88"/>
      <c r="F6" s="88"/>
      <c r="G6" s="21" t="s">
        <v>305</v>
      </c>
    </row>
    <row r="7" customFormat="false" ht="24" hidden="false" customHeight="true" outlineLevel="0" collapsed="false">
      <c r="A7" s="89" t="s">
        <v>306</v>
      </c>
      <c r="B7" s="90"/>
      <c r="C7" s="90"/>
      <c r="D7" s="90"/>
      <c r="E7" s="90"/>
      <c r="F7" s="90"/>
      <c r="G7" s="81" t="s">
        <v>307</v>
      </c>
    </row>
    <row r="8" customFormat="false" ht="24" hidden="false" customHeight="true" outlineLevel="0" collapsed="false">
      <c r="A8" s="87" t="s">
        <v>308</v>
      </c>
      <c r="B8" s="88"/>
      <c r="C8" s="88"/>
      <c r="D8" s="88"/>
      <c r="E8" s="88"/>
      <c r="F8" s="88"/>
      <c r="G8" s="21" t="s">
        <v>309</v>
      </c>
    </row>
    <row r="9" customFormat="false" ht="24" hidden="false" customHeight="true" outlineLevel="0" collapsed="false">
      <c r="A9" s="89" t="s">
        <v>310</v>
      </c>
      <c r="B9" s="90"/>
      <c r="C9" s="90"/>
      <c r="D9" s="90"/>
      <c r="E9" s="90"/>
      <c r="F9" s="90"/>
      <c r="G9" s="81" t="s">
        <v>311</v>
      </c>
    </row>
    <row r="10" customFormat="false" ht="24" hidden="false" customHeight="true" outlineLevel="0" collapsed="false">
      <c r="A10" s="87" t="s">
        <v>312</v>
      </c>
      <c r="B10" s="88"/>
      <c r="C10" s="88"/>
      <c r="D10" s="88"/>
      <c r="E10" s="88"/>
      <c r="F10" s="88"/>
      <c r="G10" s="21" t="s">
        <v>313</v>
      </c>
    </row>
    <row r="11" customFormat="false" ht="24" hidden="false" customHeight="true" outlineLevel="0" collapsed="false">
      <c r="A11" s="89" t="s">
        <v>314</v>
      </c>
      <c r="B11" s="90"/>
      <c r="C11" s="90"/>
      <c r="D11" s="90"/>
      <c r="E11" s="90"/>
      <c r="F11" s="90"/>
      <c r="G11" s="81" t="s">
        <v>315</v>
      </c>
    </row>
    <row r="12" customFormat="false" ht="24" hidden="false" customHeight="true" outlineLevel="0" collapsed="false">
      <c r="A12" s="87" t="s">
        <v>316</v>
      </c>
      <c r="B12" s="88"/>
      <c r="C12" s="88"/>
      <c r="D12" s="88"/>
      <c r="E12" s="88"/>
      <c r="F12" s="88"/>
      <c r="G12" s="21" t="s">
        <v>317</v>
      </c>
    </row>
    <row r="13" customFormat="false" ht="24" hidden="false" customHeight="true" outlineLevel="0" collapsed="false">
      <c r="A13" s="89" t="s">
        <v>318</v>
      </c>
      <c r="B13" s="90"/>
      <c r="C13" s="90"/>
      <c r="D13" s="90"/>
      <c r="E13" s="90"/>
      <c r="F13" s="90"/>
      <c r="G13" s="81" t="s">
        <v>319</v>
      </c>
    </row>
    <row r="14" customFormat="false" ht="24" hidden="false" customHeight="true" outlineLevel="0" collapsed="false">
      <c r="A14" s="87" t="s">
        <v>49</v>
      </c>
      <c r="B14" s="88"/>
      <c r="C14" s="88"/>
      <c r="D14" s="88"/>
      <c r="E14" s="88"/>
      <c r="F14" s="88"/>
      <c r="G14" s="21" t="s">
        <v>320</v>
      </c>
    </row>
    <row r="15" customFormat="false" ht="21.75" hidden="false" customHeight="true" outlineLevel="0" collapsed="false">
      <c r="A15" s="91" t="s">
        <v>321</v>
      </c>
      <c r="B15" s="91"/>
      <c r="C15" s="91"/>
      <c r="D15" s="91"/>
      <c r="E15" s="91"/>
      <c r="F15" s="91"/>
      <c r="G15" s="91"/>
    </row>
    <row r="16" customFormat="false" ht="24" hidden="false" customHeight="true" outlineLevel="0" collapsed="false">
      <c r="A16" s="89" t="s">
        <v>322</v>
      </c>
      <c r="B16" s="92" t="str">
        <f aca="false">IF(B6=0,"-",B8/B6)</f>
        <v>-</v>
      </c>
      <c r="C16" s="92" t="str">
        <f aca="false">IF(C6=0,"-",C8/C6)</f>
        <v>-</v>
      </c>
      <c r="D16" s="92" t="str">
        <f aca="false">IF(D6=0,"-",D8/D6)</f>
        <v>-</v>
      </c>
      <c r="E16" s="92" t="str">
        <f aca="false">IF(E6=0,"-",E8/E6)</f>
        <v>-</v>
      </c>
      <c r="F16" s="92" t="str">
        <f aca="false">IF(F6=0,"-",F8/F6)</f>
        <v>-</v>
      </c>
      <c r="G16" s="81" t="s">
        <v>323</v>
      </c>
    </row>
    <row r="17" customFormat="false" ht="24" hidden="false" customHeight="true" outlineLevel="0" collapsed="false">
      <c r="A17" s="87" t="s">
        <v>324</v>
      </c>
      <c r="B17" s="93" t="str">
        <f aca="false">IF(B10=0,"-",B11/B10)</f>
        <v>-</v>
      </c>
      <c r="C17" s="93" t="str">
        <f aca="false">IF(C10=0,"-",C11/C10)</f>
        <v>-</v>
      </c>
      <c r="D17" s="93" t="str">
        <f aca="false">IF(D10=0,"-",D11/D10)</f>
        <v>-</v>
      </c>
      <c r="E17" s="93" t="str">
        <f aca="false">IF(E10=0,"-",E11/E10)</f>
        <v>-</v>
      </c>
      <c r="F17" s="93" t="str">
        <f aca="false">IF(F10=0,"-",F11/F10)</f>
        <v>-</v>
      </c>
      <c r="G17" s="21" t="s">
        <v>325</v>
      </c>
    </row>
    <row r="18" customFormat="false" ht="24" hidden="false" customHeight="true" outlineLevel="0" collapsed="false">
      <c r="A18" s="89" t="s">
        <v>41</v>
      </c>
      <c r="B18" s="92" t="str">
        <f aca="false">IF(B8=0,"-",B12/B8)</f>
        <v>-</v>
      </c>
      <c r="C18" s="92" t="str">
        <f aca="false">IF(C8=0,"-",C12/C8)</f>
        <v>-</v>
      </c>
      <c r="D18" s="92" t="str">
        <f aca="false">IF(D8=0,"-",D12/D8)</f>
        <v>-</v>
      </c>
      <c r="E18" s="92" t="str">
        <f aca="false">IF(E8=0,"-",E12/E8)</f>
        <v>-</v>
      </c>
      <c r="F18" s="92" t="str">
        <f aca="false">IF(F8=0,"-",F12/F8)</f>
        <v>-</v>
      </c>
      <c r="G18" s="81" t="s">
        <v>326</v>
      </c>
    </row>
    <row r="19" customFormat="false" ht="24" hidden="false" customHeight="true" outlineLevel="0" collapsed="false">
      <c r="A19" s="87" t="s">
        <v>327</v>
      </c>
      <c r="B19" s="93" t="str">
        <f aca="false">IF(B6=0,"-",B13/B6)</f>
        <v>-</v>
      </c>
      <c r="C19" s="93" t="str">
        <f aca="false">IF(C6=0,"-",C13/C6)</f>
        <v>-</v>
      </c>
      <c r="D19" s="93" t="str">
        <f aca="false">IF(D6=0,"-",D13/D6)</f>
        <v>-</v>
      </c>
      <c r="E19" s="93" t="str">
        <f aca="false">IF(E6=0,"-",E13/E6)</f>
        <v>-</v>
      </c>
      <c r="F19" s="93" t="str">
        <f aca="false">IF(F6=0,"-",F13/F6)</f>
        <v>-</v>
      </c>
      <c r="G19" s="21" t="s">
        <v>328</v>
      </c>
    </row>
    <row r="20" customFormat="false" ht="24" hidden="false" customHeight="true" outlineLevel="0" collapsed="false">
      <c r="A20" s="89" t="s">
        <v>329</v>
      </c>
      <c r="B20" s="94" t="n">
        <f aca="false">B9</f>
        <v>0</v>
      </c>
      <c r="C20" s="94" t="n">
        <f aca="false">C9</f>
        <v>0</v>
      </c>
      <c r="D20" s="94" t="n">
        <f aca="false">D9</f>
        <v>0</v>
      </c>
      <c r="E20" s="94" t="n">
        <f aca="false">E9</f>
        <v>0</v>
      </c>
      <c r="F20" s="94" t="n">
        <f aca="false">F9</f>
        <v>0</v>
      </c>
      <c r="G20" s="81" t="s">
        <v>330</v>
      </c>
    </row>
    <row r="21" customFormat="false" ht="24" hidden="false" customHeight="true" outlineLevel="0" collapsed="false">
      <c r="A21" s="87" t="s">
        <v>331</v>
      </c>
      <c r="B21" s="95" t="str">
        <f aca="false">IF(B6=0,"-",B7-B6)</f>
        <v>-</v>
      </c>
      <c r="C21" s="95" t="str">
        <f aca="false">IF(C6=0,"-",C7-C6)</f>
        <v>-</v>
      </c>
      <c r="D21" s="95" t="str">
        <f aca="false">IF(D6=0,"-",D7-D6)</f>
        <v>-</v>
      </c>
      <c r="E21" s="95" t="str">
        <f aca="false">IF(E6=0,"-",E7-E6)</f>
        <v>-</v>
      </c>
      <c r="F21" s="95" t="str">
        <f aca="false">IF(F6=0,"-",F7-F6)</f>
        <v>-</v>
      </c>
      <c r="G21" s="21" t="s">
        <v>332</v>
      </c>
    </row>
    <row r="22" customFormat="false" ht="24" hidden="false" customHeight="true" outlineLevel="0" collapsed="false">
      <c r="A22" s="89" t="s">
        <v>333</v>
      </c>
      <c r="B22" s="96" t="str">
        <f aca="false">IF(B7=0,"-",B14/B7)</f>
        <v>-</v>
      </c>
      <c r="C22" s="96" t="str">
        <f aca="false">IF(C7=0,"-",C14/C7)</f>
        <v>-</v>
      </c>
      <c r="D22" s="96" t="str">
        <f aca="false">IF(D7=0,"-",D14/D7)</f>
        <v>-</v>
      </c>
      <c r="E22" s="96" t="str">
        <f aca="false">IF(E7=0,"-",E14/E7)</f>
        <v>-</v>
      </c>
      <c r="F22" s="96" t="str">
        <f aca="false">IF(F7=0,"-",F14/F7)</f>
        <v>-</v>
      </c>
      <c r="G22" s="81" t="s">
        <v>334</v>
      </c>
    </row>
    <row r="25" customFormat="false" ht="21.75" hidden="false" customHeight="true" outlineLevel="0" collapsed="false">
      <c r="A25" s="6" t="s">
        <v>335</v>
      </c>
      <c r="B25" s="6"/>
      <c r="C25" s="6"/>
      <c r="D25" s="6"/>
      <c r="E25" s="6"/>
      <c r="F25" s="6"/>
      <c r="G25" s="6"/>
    </row>
    <row r="26" customFormat="false" ht="30" hidden="false" customHeight="true" outlineLevel="0" collapsed="false">
      <c r="A26" s="97" t="s">
        <v>336</v>
      </c>
      <c r="B26" s="97"/>
      <c r="C26" s="97"/>
      <c r="D26" s="97"/>
      <c r="E26" s="97"/>
      <c r="F26" s="97"/>
      <c r="G26" s="97"/>
    </row>
    <row r="27" customFormat="false" ht="30" hidden="false" customHeight="true" outlineLevel="0" collapsed="false">
      <c r="A27" s="98" t="s">
        <v>337</v>
      </c>
      <c r="B27" s="98"/>
      <c r="C27" s="98"/>
      <c r="D27" s="98"/>
      <c r="E27" s="98"/>
      <c r="F27" s="98"/>
      <c r="G27" s="98"/>
    </row>
    <row r="28" customFormat="false" ht="30" hidden="false" customHeight="true" outlineLevel="0" collapsed="false">
      <c r="A28" s="97" t="s">
        <v>338</v>
      </c>
      <c r="B28" s="97"/>
      <c r="C28" s="97"/>
      <c r="D28" s="97"/>
      <c r="E28" s="97"/>
      <c r="F28" s="97"/>
      <c r="G28" s="97"/>
    </row>
    <row r="29" customFormat="false" ht="30" hidden="false" customHeight="true" outlineLevel="0" collapsed="false">
      <c r="A29" s="98" t="s">
        <v>339</v>
      </c>
      <c r="B29" s="98"/>
      <c r="C29" s="98"/>
      <c r="D29" s="98"/>
      <c r="E29" s="98"/>
      <c r="F29" s="98"/>
      <c r="G29" s="98"/>
    </row>
    <row r="30" customFormat="false" ht="30" hidden="false" customHeight="true" outlineLevel="0" collapsed="false">
      <c r="A30" s="97" t="s">
        <v>340</v>
      </c>
      <c r="B30" s="97"/>
      <c r="C30" s="97"/>
      <c r="D30" s="97"/>
      <c r="E30" s="97"/>
      <c r="F30" s="97"/>
      <c r="G30" s="97"/>
    </row>
  </sheetData>
  <mergeCells count="11">
    <mergeCell ref="A1:G1"/>
    <mergeCell ref="A2:G2"/>
    <mergeCell ref="A3:G3"/>
    <mergeCell ref="A5:G5"/>
    <mergeCell ref="A15:G15"/>
    <mergeCell ref="A25:G25"/>
    <mergeCell ref="A26:G26"/>
    <mergeCell ref="A27:G27"/>
    <mergeCell ref="A28:G28"/>
    <mergeCell ref="A29:G29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20"/>
    <col collapsed="false" customWidth="true" hidden="false" outlineLevel="0" max="8" min="7" style="0" width="18"/>
    <col collapsed="false" customWidth="true" hidden="false" outlineLevel="0" max="9" min="9" style="0" width="20"/>
    <col collapsed="false" customWidth="true" hidden="false" outlineLevel="0" max="10" min="10" style="0" width="22"/>
  </cols>
  <sheetData>
    <row r="1" customFormat="false" ht="33.75" hidden="false" customHeight="true" outlineLevel="0" collapsed="false">
      <c r="A1" s="28" t="s">
        <v>341</v>
      </c>
      <c r="B1" s="28"/>
      <c r="C1" s="28"/>
      <c r="D1" s="28"/>
      <c r="E1" s="28"/>
      <c r="F1" s="28"/>
      <c r="G1" s="28"/>
      <c r="H1" s="28"/>
      <c r="I1" s="28"/>
      <c r="J1" s="28"/>
    </row>
    <row r="2" customFormat="false" ht="19.5" hidden="false" customHeight="true" outlineLevel="0" collapsed="false">
      <c r="A2" s="99" t="s">
        <v>342</v>
      </c>
      <c r="B2" s="99"/>
      <c r="C2" s="99"/>
      <c r="D2" s="99"/>
      <c r="E2" s="99"/>
      <c r="F2" s="99"/>
      <c r="G2" s="99"/>
      <c r="H2" s="99"/>
      <c r="I2" s="99"/>
      <c r="J2" s="99"/>
    </row>
    <row r="3" customFormat="false" ht="39.75" hidden="false" customHeight="true" outlineLevel="0" collapsed="false">
      <c r="A3" s="7" t="s">
        <v>343</v>
      </c>
      <c r="B3" s="7"/>
      <c r="C3" s="7"/>
      <c r="D3" s="7"/>
      <c r="E3" s="7"/>
      <c r="F3" s="7"/>
      <c r="G3" s="7"/>
      <c r="H3" s="7"/>
      <c r="I3" s="7"/>
      <c r="J3" s="7"/>
    </row>
    <row r="4" customFormat="false" ht="39.75" hidden="false" customHeight="true" outlineLevel="0" collapsed="false">
      <c r="A4" s="100" t="s">
        <v>71</v>
      </c>
      <c r="B4" s="100" t="s">
        <v>217</v>
      </c>
      <c r="C4" s="100" t="s">
        <v>344</v>
      </c>
      <c r="D4" s="100" t="s">
        <v>345</v>
      </c>
      <c r="E4" s="100" t="s">
        <v>346</v>
      </c>
      <c r="F4" s="100" t="s">
        <v>347</v>
      </c>
      <c r="G4" s="100" t="s">
        <v>348</v>
      </c>
      <c r="H4" s="100" t="s">
        <v>349</v>
      </c>
      <c r="I4" s="100" t="s">
        <v>350</v>
      </c>
      <c r="J4" s="100" t="s">
        <v>185</v>
      </c>
    </row>
    <row r="5" customFormat="false" ht="43.5" hidden="false" customHeight="true" outlineLevel="0" collapsed="false">
      <c r="A5" s="35" t="n">
        <v>1</v>
      </c>
      <c r="B5" s="36" t="s">
        <v>109</v>
      </c>
      <c r="C5" s="55" t="s">
        <v>351</v>
      </c>
      <c r="D5" s="38" t="n">
        <v>1000</v>
      </c>
      <c r="E5" s="38" t="n">
        <v>3000</v>
      </c>
      <c r="F5" s="36" t="s">
        <v>352</v>
      </c>
      <c r="G5" s="55" t="s">
        <v>353</v>
      </c>
      <c r="H5" s="55" t="s">
        <v>153</v>
      </c>
      <c r="I5" s="101" t="s">
        <v>354</v>
      </c>
      <c r="J5" s="36" t="s">
        <v>355</v>
      </c>
    </row>
    <row r="6" customFormat="false" ht="43.5" hidden="false" customHeight="true" outlineLevel="0" collapsed="false">
      <c r="A6" s="40" t="n">
        <v>2</v>
      </c>
      <c r="B6" s="41" t="s">
        <v>356</v>
      </c>
      <c r="C6" s="56" t="s">
        <v>357</v>
      </c>
      <c r="D6" s="42" t="n">
        <v>500</v>
      </c>
      <c r="E6" s="42" t="n">
        <v>1500</v>
      </c>
      <c r="F6" s="41" t="s">
        <v>358</v>
      </c>
      <c r="G6" s="56" t="s">
        <v>359</v>
      </c>
      <c r="H6" s="56" t="s">
        <v>87</v>
      </c>
      <c r="I6" s="102" t="s">
        <v>360</v>
      </c>
      <c r="J6" s="41" t="s">
        <v>361</v>
      </c>
    </row>
    <row r="7" customFormat="false" ht="43.5" hidden="false" customHeight="true" outlineLevel="0" collapsed="false">
      <c r="A7" s="35" t="n">
        <v>3</v>
      </c>
      <c r="B7" s="36" t="s">
        <v>362</v>
      </c>
      <c r="C7" s="55" t="s">
        <v>363</v>
      </c>
      <c r="D7" s="38" t="n">
        <v>2500</v>
      </c>
      <c r="E7" s="38" t="n">
        <v>8000</v>
      </c>
      <c r="F7" s="36" t="s">
        <v>364</v>
      </c>
      <c r="G7" s="55" t="s">
        <v>365</v>
      </c>
      <c r="H7" s="55" t="s">
        <v>100</v>
      </c>
      <c r="I7" s="101" t="s">
        <v>366</v>
      </c>
      <c r="J7" s="36" t="s">
        <v>367</v>
      </c>
    </row>
    <row r="8" customFormat="false" ht="43.5" hidden="false" customHeight="true" outlineLevel="0" collapsed="false">
      <c r="A8" s="40" t="n">
        <v>4</v>
      </c>
      <c r="B8" s="41" t="s">
        <v>368</v>
      </c>
      <c r="C8" s="56" t="s">
        <v>369</v>
      </c>
      <c r="D8" s="42" t="n">
        <v>750</v>
      </c>
      <c r="E8" s="42" t="n">
        <v>2250</v>
      </c>
      <c r="F8" s="41" t="s">
        <v>370</v>
      </c>
      <c r="G8" s="56" t="s">
        <v>371</v>
      </c>
      <c r="H8" s="56"/>
      <c r="I8" s="103" t="s">
        <v>372</v>
      </c>
      <c r="J8" s="41" t="s">
        <v>373</v>
      </c>
    </row>
    <row r="9" customFormat="false" ht="43.5" hidden="false" customHeight="true" outlineLevel="0" collapsed="false">
      <c r="A9" s="35" t="n">
        <v>5</v>
      </c>
      <c r="B9" s="36" t="s">
        <v>374</v>
      </c>
      <c r="C9" s="55" t="s">
        <v>375</v>
      </c>
      <c r="D9" s="38" t="n">
        <v>1000</v>
      </c>
      <c r="E9" s="38" t="n">
        <v>4000</v>
      </c>
      <c r="F9" s="36" t="s">
        <v>376</v>
      </c>
      <c r="G9" s="55" t="s">
        <v>170</v>
      </c>
      <c r="H9" s="55" t="s">
        <v>142</v>
      </c>
      <c r="I9" s="104" t="s">
        <v>377</v>
      </c>
      <c r="J9" s="36" t="s">
        <v>378</v>
      </c>
    </row>
    <row r="10" customFormat="false" ht="30" hidden="false" customHeight="true" outlineLevel="0" collapsed="false">
      <c r="A10" s="69"/>
      <c r="B10" s="69"/>
      <c r="C10" s="69"/>
      <c r="D10" s="69"/>
      <c r="E10" s="69"/>
      <c r="F10" s="69"/>
      <c r="G10" s="69"/>
      <c r="H10" s="69"/>
      <c r="I10" s="69"/>
      <c r="J10" s="69"/>
    </row>
    <row r="11" customFormat="false" ht="30" hidden="false" customHeight="true" outlineLevel="0" collapsed="false">
      <c r="A11" s="68"/>
      <c r="B11" s="68"/>
      <c r="C11" s="68"/>
      <c r="D11" s="68"/>
      <c r="E11" s="68"/>
      <c r="F11" s="68"/>
      <c r="G11" s="68"/>
      <c r="H11" s="68"/>
      <c r="I11" s="68"/>
      <c r="J11" s="68"/>
    </row>
    <row r="12" customFormat="false" ht="30" hidden="false" customHeight="true" outlineLevel="0" collapsed="false">
      <c r="A12" s="69"/>
      <c r="B12" s="69"/>
      <c r="C12" s="69"/>
      <c r="D12" s="69"/>
      <c r="E12" s="69"/>
      <c r="F12" s="69"/>
      <c r="G12" s="69"/>
      <c r="H12" s="69"/>
      <c r="I12" s="69"/>
      <c r="J12" s="69"/>
    </row>
    <row r="13" customFormat="false" ht="30" hidden="false" customHeight="true" outlineLevel="0" collapsed="false">
      <c r="A13" s="68"/>
      <c r="B13" s="68"/>
      <c r="C13" s="68"/>
      <c r="D13" s="68"/>
      <c r="E13" s="68"/>
      <c r="F13" s="68"/>
      <c r="G13" s="68"/>
      <c r="H13" s="68"/>
      <c r="I13" s="68"/>
      <c r="J13" s="68"/>
    </row>
    <row r="14" customFormat="false" ht="30" hidden="false" customHeight="true" outlineLevel="0" collapsed="false">
      <c r="A14" s="69"/>
      <c r="B14" s="69"/>
      <c r="C14" s="69"/>
      <c r="D14" s="69"/>
      <c r="E14" s="69"/>
      <c r="F14" s="69"/>
      <c r="G14" s="69"/>
      <c r="H14" s="69"/>
      <c r="I14" s="69"/>
      <c r="J14" s="69"/>
    </row>
    <row r="15" customFormat="false" ht="30" hidden="false" customHeight="true" outlineLevel="0" collapsed="false">
      <c r="A15" s="68"/>
      <c r="B15" s="68"/>
      <c r="C15" s="68"/>
      <c r="D15" s="68"/>
      <c r="E15" s="68"/>
      <c r="F15" s="68"/>
      <c r="G15" s="68"/>
      <c r="H15" s="68"/>
      <c r="I15" s="68"/>
      <c r="J15" s="68"/>
    </row>
    <row r="16" customFormat="false" ht="30" hidden="false" customHeight="true" outlineLevel="0" collapsed="false">
      <c r="A16" s="69"/>
      <c r="B16" s="69"/>
      <c r="C16" s="69"/>
      <c r="D16" s="69"/>
      <c r="E16" s="69"/>
      <c r="F16" s="69"/>
      <c r="G16" s="69"/>
      <c r="H16" s="69"/>
      <c r="I16" s="69"/>
      <c r="J16" s="69"/>
    </row>
    <row r="17" customFormat="false" ht="30" hidden="false" customHeight="true" outlineLevel="0" collapsed="false">
      <c r="A17" s="68"/>
      <c r="B17" s="68"/>
      <c r="C17" s="68"/>
      <c r="D17" s="68"/>
      <c r="E17" s="68"/>
      <c r="F17" s="68"/>
      <c r="G17" s="68"/>
      <c r="H17" s="68"/>
      <c r="I17" s="68"/>
      <c r="J17" s="68"/>
    </row>
    <row r="18" customFormat="false" ht="30" hidden="false" customHeight="true" outlineLevel="0" collapsed="false">
      <c r="A18" s="69"/>
      <c r="B18" s="69"/>
      <c r="C18" s="69"/>
      <c r="D18" s="69"/>
      <c r="E18" s="69"/>
      <c r="F18" s="69"/>
      <c r="G18" s="69"/>
      <c r="H18" s="69"/>
      <c r="I18" s="69"/>
      <c r="J18" s="69"/>
    </row>
    <row r="19" customFormat="false" ht="30" hidden="false" customHeight="true" outlineLevel="0" collapsed="false">
      <c r="A19" s="68"/>
      <c r="B19" s="68"/>
      <c r="C19" s="68"/>
      <c r="D19" s="68"/>
      <c r="E19" s="68"/>
      <c r="F19" s="68"/>
      <c r="G19" s="68"/>
      <c r="H19" s="68"/>
      <c r="I19" s="68"/>
      <c r="J19" s="68"/>
    </row>
    <row r="20" customFormat="false" ht="30" hidden="false" customHeight="true" outlineLevel="0" collapsed="false">
      <c r="A20" s="69"/>
      <c r="B20" s="69"/>
      <c r="C20" s="69"/>
      <c r="D20" s="69"/>
      <c r="E20" s="69"/>
      <c r="F20" s="69"/>
      <c r="G20" s="69"/>
      <c r="H20" s="69"/>
      <c r="I20" s="69"/>
      <c r="J20" s="69"/>
    </row>
    <row r="21" customFormat="false" ht="30" hidden="false" customHeight="true" outlineLevel="0" collapsed="false">
      <c r="A21" s="68"/>
      <c r="B21" s="68"/>
      <c r="C21" s="68"/>
      <c r="D21" s="68"/>
      <c r="E21" s="68"/>
      <c r="F21" s="68"/>
      <c r="G21" s="68"/>
      <c r="H21" s="68"/>
      <c r="I21" s="68"/>
      <c r="J21" s="68"/>
    </row>
    <row r="22" customFormat="false" ht="30" hidden="false" customHeight="true" outlineLevel="0" collapsed="false">
      <c r="A22" s="69"/>
      <c r="B22" s="69"/>
      <c r="C22" s="69"/>
      <c r="D22" s="69"/>
      <c r="E22" s="69"/>
      <c r="F22" s="69"/>
      <c r="G22" s="69"/>
      <c r="H22" s="69"/>
      <c r="I22" s="69"/>
      <c r="J22" s="69"/>
    </row>
    <row r="23" customFormat="false" ht="30" hidden="false" customHeight="true" outlineLevel="0" collapsed="false">
      <c r="A23" s="68"/>
      <c r="B23" s="68"/>
      <c r="C23" s="68"/>
      <c r="D23" s="68"/>
      <c r="E23" s="68"/>
      <c r="F23" s="68"/>
      <c r="G23" s="68"/>
      <c r="H23" s="68"/>
      <c r="I23" s="68"/>
      <c r="J23" s="68"/>
    </row>
    <row r="24" customFormat="false" ht="30" hidden="false" customHeight="true" outlineLevel="0" collapsed="false">
      <c r="A24" s="69"/>
      <c r="B24" s="69"/>
      <c r="C24" s="69"/>
      <c r="D24" s="69"/>
      <c r="E24" s="69"/>
      <c r="F24" s="69"/>
      <c r="G24" s="69"/>
      <c r="H24" s="69"/>
      <c r="I24" s="69"/>
      <c r="J24" s="69"/>
    </row>
    <row r="25" customFormat="false" ht="30" hidden="false" customHeight="true" outlineLevel="0" collapsed="false">
      <c r="A25" s="68"/>
      <c r="B25" s="68"/>
      <c r="C25" s="68"/>
      <c r="D25" s="68"/>
      <c r="E25" s="68"/>
      <c r="F25" s="68"/>
      <c r="G25" s="68"/>
      <c r="H25" s="68"/>
      <c r="I25" s="68"/>
      <c r="J25" s="68"/>
    </row>
    <row r="26" customFormat="false" ht="30" hidden="false" customHeight="true" outlineLevel="0" collapsed="false">
      <c r="A26" s="69"/>
      <c r="B26" s="69"/>
      <c r="C26" s="69"/>
      <c r="D26" s="69"/>
      <c r="E26" s="69"/>
      <c r="F26" s="69"/>
      <c r="G26" s="69"/>
      <c r="H26" s="69"/>
      <c r="I26" s="69"/>
      <c r="J26" s="69"/>
    </row>
    <row r="27" customFormat="false" ht="30" hidden="false" customHeight="true" outlineLevel="0" collapsed="false">
      <c r="A27" s="68"/>
      <c r="B27" s="68"/>
      <c r="C27" s="68"/>
      <c r="D27" s="68"/>
      <c r="E27" s="68"/>
      <c r="F27" s="68"/>
      <c r="G27" s="68"/>
      <c r="H27" s="68"/>
      <c r="I27" s="68"/>
      <c r="J27" s="68"/>
    </row>
    <row r="28" customFormat="false" ht="30" hidden="false" customHeight="true" outlineLevel="0" collapsed="false">
      <c r="A28" s="69"/>
      <c r="B28" s="69"/>
      <c r="C28" s="69"/>
      <c r="D28" s="69"/>
      <c r="E28" s="69"/>
      <c r="F28" s="69"/>
      <c r="G28" s="69"/>
      <c r="H28" s="69"/>
      <c r="I28" s="69"/>
      <c r="J28" s="69"/>
    </row>
    <row r="29" customFormat="false" ht="30" hidden="false" customHeight="true" outlineLevel="0" collapsed="false">
      <c r="A29" s="68"/>
      <c r="B29" s="68"/>
      <c r="C29" s="68"/>
      <c r="D29" s="68"/>
      <c r="E29" s="68"/>
      <c r="F29" s="68"/>
      <c r="G29" s="68"/>
      <c r="H29" s="68"/>
      <c r="I29" s="68"/>
      <c r="J29" s="68"/>
    </row>
    <row r="30" customFormat="false" ht="30" hidden="false" customHeight="true" outlineLevel="0" collapsed="false">
      <c r="A30" s="69"/>
      <c r="B30" s="69"/>
      <c r="C30" s="69"/>
      <c r="D30" s="69"/>
      <c r="E30" s="69"/>
      <c r="F30" s="69"/>
      <c r="G30" s="69"/>
      <c r="H30" s="69"/>
      <c r="I30" s="69"/>
      <c r="J30" s="69"/>
    </row>
    <row r="31" customFormat="false" ht="30" hidden="false" customHeight="true" outlineLevel="0" collapsed="false">
      <c r="A31" s="68"/>
      <c r="B31" s="68"/>
      <c r="C31" s="68"/>
      <c r="D31" s="68"/>
      <c r="E31" s="68"/>
      <c r="F31" s="68"/>
      <c r="G31" s="68"/>
      <c r="H31" s="68"/>
      <c r="I31" s="68"/>
      <c r="J31" s="68"/>
    </row>
    <row r="32" customFormat="false" ht="30" hidden="false" customHeight="true" outlineLevel="0" collapsed="false">
      <c r="A32" s="69"/>
      <c r="B32" s="69"/>
      <c r="C32" s="69"/>
      <c r="D32" s="69"/>
      <c r="E32" s="69"/>
      <c r="F32" s="69"/>
      <c r="G32" s="69"/>
      <c r="H32" s="69"/>
      <c r="I32" s="69"/>
      <c r="J32" s="69"/>
    </row>
    <row r="33" customFormat="false" ht="30" hidden="false" customHeight="true" outlineLevel="0" collapsed="false">
      <c r="A33" s="68"/>
      <c r="B33" s="68"/>
      <c r="C33" s="68"/>
      <c r="D33" s="68"/>
      <c r="E33" s="68"/>
      <c r="F33" s="68"/>
      <c r="G33" s="68"/>
      <c r="H33" s="68"/>
      <c r="I33" s="68"/>
      <c r="J33" s="68"/>
    </row>
    <row r="34" customFormat="false" ht="30" hidden="false" customHeight="true" outlineLevel="0" collapsed="false">
      <c r="A34" s="69"/>
      <c r="B34" s="69"/>
      <c r="C34" s="69"/>
      <c r="D34" s="69"/>
      <c r="E34" s="69"/>
      <c r="F34" s="69"/>
      <c r="G34" s="69"/>
      <c r="H34" s="69"/>
      <c r="I34" s="69"/>
      <c r="J34" s="69"/>
    </row>
    <row r="35" customFormat="false" ht="30" hidden="false" customHeight="true" outlineLevel="0" collapsed="false">
      <c r="A35" s="68"/>
      <c r="B35" s="68"/>
      <c r="C35" s="68"/>
      <c r="D35" s="68"/>
      <c r="E35" s="68"/>
      <c r="F35" s="68"/>
      <c r="G35" s="68"/>
      <c r="H35" s="68"/>
      <c r="I35" s="68"/>
      <c r="J35" s="68"/>
    </row>
    <row r="36" customFormat="false" ht="30" hidden="false" customHeight="true" outlineLevel="0" collapsed="false">
      <c r="A36" s="69"/>
      <c r="B36" s="69"/>
      <c r="C36" s="69"/>
      <c r="D36" s="69"/>
      <c r="E36" s="69"/>
      <c r="F36" s="69"/>
      <c r="G36" s="69"/>
      <c r="H36" s="69"/>
      <c r="I36" s="69"/>
      <c r="J36" s="69"/>
    </row>
    <row r="37" customFormat="false" ht="30" hidden="false" customHeight="true" outlineLevel="0" collapsed="false">
      <c r="A37" s="68"/>
      <c r="B37" s="68"/>
      <c r="C37" s="68"/>
      <c r="D37" s="68"/>
      <c r="E37" s="68"/>
      <c r="F37" s="68"/>
      <c r="G37" s="68"/>
      <c r="H37" s="68"/>
      <c r="I37" s="68"/>
      <c r="J37" s="68"/>
    </row>
    <row r="38" customFormat="false" ht="30" hidden="false" customHeight="true" outlineLevel="0" collapsed="false">
      <c r="A38" s="69"/>
      <c r="B38" s="69"/>
      <c r="C38" s="69"/>
      <c r="D38" s="69"/>
      <c r="E38" s="69"/>
      <c r="F38" s="69"/>
      <c r="G38" s="69"/>
      <c r="H38" s="69"/>
      <c r="I38" s="69"/>
      <c r="J38" s="69"/>
    </row>
    <row r="39" customFormat="false" ht="30" hidden="false" customHeight="true" outlineLevel="0" collapsed="false">
      <c r="A39" s="68"/>
      <c r="B39" s="68"/>
      <c r="C39" s="68"/>
      <c r="D39" s="68"/>
      <c r="E39" s="68"/>
      <c r="F39" s="68"/>
      <c r="G39" s="68"/>
      <c r="H39" s="68"/>
      <c r="I39" s="68"/>
      <c r="J39" s="68"/>
    </row>
    <row r="40" customFormat="false" ht="30" hidden="false" customHeight="true" outlineLevel="0" collapsed="false">
      <c r="A40" s="69"/>
      <c r="B40" s="69"/>
      <c r="C40" s="69"/>
      <c r="D40" s="69"/>
      <c r="E40" s="69"/>
      <c r="F40" s="69"/>
      <c r="G40" s="69"/>
      <c r="H40" s="69"/>
      <c r="I40" s="69"/>
      <c r="J40" s="69"/>
    </row>
    <row r="41" customFormat="false" ht="30" hidden="false" customHeight="true" outlineLevel="0" collapsed="false">
      <c r="A41" s="68"/>
      <c r="B41" s="68"/>
      <c r="C41" s="68"/>
      <c r="D41" s="68"/>
      <c r="E41" s="68"/>
      <c r="F41" s="68"/>
      <c r="G41" s="68"/>
      <c r="H41" s="68"/>
      <c r="I41" s="68"/>
      <c r="J41" s="68"/>
    </row>
    <row r="42" customFormat="false" ht="30" hidden="false" customHeight="true" outlineLevel="0" collapsed="false">
      <c r="A42" s="69"/>
      <c r="B42" s="69"/>
      <c r="C42" s="69"/>
      <c r="D42" s="69"/>
      <c r="E42" s="69"/>
      <c r="F42" s="69"/>
      <c r="G42" s="69"/>
      <c r="H42" s="69"/>
      <c r="I42" s="69"/>
      <c r="J42" s="69"/>
    </row>
    <row r="43" customFormat="false" ht="30" hidden="false" customHeight="true" outlineLevel="0" collapsed="false">
      <c r="A43" s="68"/>
      <c r="B43" s="68"/>
      <c r="C43" s="68"/>
      <c r="D43" s="68"/>
      <c r="E43" s="68"/>
      <c r="F43" s="68"/>
      <c r="G43" s="68"/>
      <c r="H43" s="68"/>
      <c r="I43" s="68"/>
      <c r="J43" s="68"/>
    </row>
    <row r="44" customFormat="false" ht="30" hidden="false" customHeight="true" outlineLevel="0" collapsed="false">
      <c r="A44" s="69"/>
      <c r="B44" s="69"/>
      <c r="C44" s="69"/>
      <c r="D44" s="69"/>
      <c r="E44" s="69"/>
      <c r="F44" s="69"/>
      <c r="G44" s="69"/>
      <c r="H44" s="69"/>
      <c r="I44" s="69"/>
      <c r="J44" s="69"/>
    </row>
    <row r="45" customFormat="false" ht="30" hidden="false" customHeight="true" outlineLevel="0" collapsed="false">
      <c r="A45" s="68"/>
      <c r="B45" s="68"/>
      <c r="C45" s="68"/>
      <c r="D45" s="68"/>
      <c r="E45" s="68"/>
      <c r="F45" s="68"/>
      <c r="G45" s="68"/>
      <c r="H45" s="68"/>
      <c r="I45" s="68"/>
      <c r="J45" s="68"/>
    </row>
    <row r="46" customFormat="false" ht="30" hidden="false" customHeight="true" outlineLevel="0" collapsed="false">
      <c r="A46" s="69"/>
      <c r="B46" s="69"/>
      <c r="C46" s="69"/>
      <c r="D46" s="69"/>
      <c r="E46" s="69"/>
      <c r="F46" s="69"/>
      <c r="G46" s="69"/>
      <c r="H46" s="69"/>
      <c r="I46" s="69"/>
      <c r="J46" s="69"/>
    </row>
    <row r="47" customFormat="false" ht="30" hidden="false" customHeight="true" outlineLevel="0" collapsed="false">
      <c r="A47" s="68"/>
      <c r="B47" s="68"/>
      <c r="C47" s="68"/>
      <c r="D47" s="68"/>
      <c r="E47" s="68"/>
      <c r="F47" s="68"/>
      <c r="G47" s="68"/>
      <c r="H47" s="68"/>
      <c r="I47" s="68"/>
      <c r="J47" s="68"/>
    </row>
    <row r="48" customFormat="false" ht="30" hidden="false" customHeight="true" outlineLevel="0" collapsed="false">
      <c r="A48" s="69"/>
      <c r="B48" s="69"/>
      <c r="C48" s="69"/>
      <c r="D48" s="69"/>
      <c r="E48" s="69"/>
      <c r="F48" s="69"/>
      <c r="G48" s="69"/>
      <c r="H48" s="69"/>
      <c r="I48" s="69"/>
      <c r="J48" s="69"/>
    </row>
    <row r="49" customFormat="false" ht="30" hidden="false" customHeight="true" outlineLevel="0" collapsed="false">
      <c r="A49" s="68"/>
      <c r="B49" s="68"/>
      <c r="C49" s="68"/>
      <c r="D49" s="68"/>
      <c r="E49" s="68"/>
      <c r="F49" s="68"/>
      <c r="G49" s="68"/>
      <c r="H49" s="68"/>
      <c r="I49" s="68"/>
      <c r="J49" s="68"/>
    </row>
    <row r="50" customFormat="false" ht="30" hidden="false" customHeight="true" outlineLevel="0" collapsed="false">
      <c r="A50" s="69"/>
      <c r="B50" s="69"/>
      <c r="C50" s="69"/>
      <c r="D50" s="69"/>
      <c r="E50" s="69"/>
      <c r="F50" s="69"/>
      <c r="G50" s="69"/>
      <c r="H50" s="69"/>
      <c r="I50" s="69"/>
      <c r="J50" s="69"/>
    </row>
    <row r="51" customFormat="false" ht="30" hidden="false" customHeight="true" outlineLevel="0" collapsed="false">
      <c r="A51" s="68"/>
      <c r="B51" s="68"/>
      <c r="C51" s="68"/>
      <c r="D51" s="68"/>
      <c r="E51" s="68"/>
      <c r="F51" s="68"/>
      <c r="G51" s="68"/>
      <c r="H51" s="68"/>
      <c r="I51" s="68"/>
      <c r="J51" s="68"/>
    </row>
    <row r="52" customFormat="false" ht="30" hidden="false" customHeight="true" outlineLevel="0" collapsed="false">
      <c r="A52" s="69"/>
      <c r="B52" s="69"/>
      <c r="C52" s="69"/>
      <c r="D52" s="69"/>
      <c r="E52" s="69"/>
      <c r="F52" s="69"/>
      <c r="G52" s="69"/>
      <c r="H52" s="69"/>
      <c r="I52" s="69"/>
      <c r="J52" s="69"/>
    </row>
    <row r="53" customFormat="false" ht="30" hidden="false" customHeight="true" outlineLevel="0" collapsed="false">
      <c r="A53" s="68"/>
      <c r="B53" s="68"/>
      <c r="C53" s="68"/>
      <c r="D53" s="68"/>
      <c r="E53" s="68"/>
      <c r="F53" s="68"/>
      <c r="G53" s="68"/>
      <c r="H53" s="68"/>
      <c r="I53" s="68"/>
      <c r="J53" s="68"/>
    </row>
    <row r="54" customFormat="false" ht="30" hidden="false" customHeight="true" outlineLevel="0" collapsed="false">
      <c r="A54" s="69"/>
      <c r="B54" s="69"/>
      <c r="C54" s="69"/>
      <c r="D54" s="69"/>
      <c r="E54" s="69"/>
      <c r="F54" s="69"/>
      <c r="G54" s="69"/>
      <c r="H54" s="69"/>
      <c r="I54" s="69"/>
      <c r="J54" s="69"/>
    </row>
    <row r="55" customFormat="false" ht="30" hidden="false" customHeight="true" outlineLevel="0" collapsed="false">
      <c r="A55" s="68"/>
      <c r="B55" s="68"/>
      <c r="C55" s="68"/>
      <c r="D55" s="68"/>
      <c r="E55" s="68"/>
      <c r="F55" s="68"/>
      <c r="G55" s="68"/>
      <c r="H55" s="68"/>
      <c r="I55" s="68"/>
      <c r="J55" s="68"/>
    </row>
    <row r="56" customFormat="false" ht="30" hidden="false" customHeight="true" outlineLevel="0" collapsed="false">
      <c r="A56" s="69"/>
      <c r="B56" s="69"/>
      <c r="C56" s="69"/>
      <c r="D56" s="69"/>
      <c r="E56" s="69"/>
      <c r="F56" s="69"/>
      <c r="G56" s="69"/>
      <c r="H56" s="69"/>
      <c r="I56" s="69"/>
      <c r="J56" s="69"/>
    </row>
    <row r="57" customFormat="false" ht="30" hidden="false" customHeight="true" outlineLevel="0" collapsed="false">
      <c r="A57" s="68"/>
      <c r="B57" s="68"/>
      <c r="C57" s="68"/>
      <c r="D57" s="68"/>
      <c r="E57" s="68"/>
      <c r="F57" s="68"/>
      <c r="G57" s="68"/>
      <c r="H57" s="68"/>
      <c r="I57" s="68"/>
      <c r="J57" s="68"/>
    </row>
    <row r="58" customFormat="false" ht="30" hidden="false" customHeight="true" outlineLevel="0" collapsed="false">
      <c r="A58" s="69"/>
      <c r="B58" s="69"/>
      <c r="C58" s="69"/>
      <c r="D58" s="69"/>
      <c r="E58" s="69"/>
      <c r="F58" s="69"/>
      <c r="G58" s="69"/>
      <c r="H58" s="69"/>
      <c r="I58" s="69"/>
      <c r="J58" s="69"/>
    </row>
    <row r="59" customFormat="false" ht="30" hidden="false" customHeight="true" outlineLevel="0" collapsed="false">
      <c r="A59" s="68"/>
      <c r="B59" s="68"/>
      <c r="C59" s="68"/>
      <c r="D59" s="68"/>
      <c r="E59" s="68"/>
      <c r="F59" s="68"/>
      <c r="G59" s="68"/>
      <c r="H59" s="68"/>
      <c r="I59" s="68"/>
      <c r="J59" s="68"/>
    </row>
    <row r="60" customFormat="false" ht="30" hidden="false" customHeight="true" outlineLevel="0" collapsed="false">
      <c r="A60" s="69"/>
      <c r="B60" s="69"/>
      <c r="C60" s="69"/>
      <c r="D60" s="69"/>
      <c r="E60" s="69"/>
      <c r="F60" s="69"/>
      <c r="G60" s="69"/>
      <c r="H60" s="69"/>
      <c r="I60" s="69"/>
      <c r="J60" s="69"/>
    </row>
    <row r="61" customFormat="false" ht="30" hidden="false" customHeight="true" outlineLevel="0" collapsed="false">
      <c r="A61" s="68"/>
      <c r="B61" s="68"/>
      <c r="C61" s="68"/>
      <c r="D61" s="68"/>
      <c r="E61" s="68"/>
      <c r="F61" s="68"/>
      <c r="G61" s="68"/>
      <c r="H61" s="68"/>
      <c r="I61" s="68"/>
      <c r="J61" s="68"/>
    </row>
    <row r="62" customFormat="false" ht="30" hidden="false" customHeight="true" outlineLevel="0" collapsed="false">
      <c r="A62" s="69"/>
      <c r="B62" s="69"/>
      <c r="C62" s="69"/>
      <c r="D62" s="69"/>
      <c r="E62" s="69"/>
      <c r="F62" s="69"/>
      <c r="G62" s="69"/>
      <c r="H62" s="69"/>
      <c r="I62" s="69"/>
      <c r="J62" s="69"/>
    </row>
    <row r="63" customFormat="false" ht="30" hidden="false" customHeight="true" outlineLevel="0" collapsed="false">
      <c r="A63" s="68"/>
      <c r="B63" s="68"/>
      <c r="C63" s="68"/>
      <c r="D63" s="68"/>
      <c r="E63" s="68"/>
      <c r="F63" s="68"/>
      <c r="G63" s="68"/>
      <c r="H63" s="68"/>
      <c r="I63" s="68"/>
      <c r="J63" s="68"/>
    </row>
    <row r="64" customFormat="false" ht="30" hidden="false" customHeight="true" outlineLevel="0" collapsed="false">
      <c r="A64" s="69"/>
      <c r="B64" s="69"/>
      <c r="C64" s="69"/>
      <c r="D64" s="69"/>
      <c r="E64" s="69"/>
      <c r="F64" s="69"/>
      <c r="G64" s="69"/>
      <c r="H64" s="69"/>
      <c r="I64" s="69"/>
      <c r="J64" s="69"/>
    </row>
    <row r="66" customFormat="false" ht="21.75" hidden="false" customHeight="true" outlineLevel="0" collapsed="false">
      <c r="A66" s="6" t="s">
        <v>379</v>
      </c>
      <c r="B66" s="6"/>
      <c r="C66" s="6"/>
      <c r="D66" s="6"/>
      <c r="E66" s="6"/>
      <c r="F66" s="6"/>
      <c r="G66" s="6"/>
      <c r="H66" s="6"/>
      <c r="I66" s="6"/>
      <c r="J66" s="6"/>
    </row>
    <row r="67" customFormat="false" ht="39.75" hidden="false" customHeight="true" outlineLevel="0" collapsed="false">
      <c r="A67" s="105" t="s">
        <v>380</v>
      </c>
      <c r="B67" s="106" t="s">
        <v>381</v>
      </c>
      <c r="C67" s="106"/>
      <c r="D67" s="106"/>
      <c r="E67" s="106"/>
      <c r="F67" s="106"/>
      <c r="G67" s="106"/>
      <c r="H67" s="106"/>
      <c r="I67" s="106"/>
      <c r="J67" s="106"/>
    </row>
    <row r="68" customFormat="false" ht="39.75" hidden="false" customHeight="true" outlineLevel="0" collapsed="false">
      <c r="A68" s="102" t="s">
        <v>382</v>
      </c>
      <c r="B68" s="107" t="s">
        <v>383</v>
      </c>
      <c r="C68" s="107"/>
      <c r="D68" s="107"/>
      <c r="E68" s="107"/>
      <c r="F68" s="107"/>
      <c r="G68" s="107"/>
      <c r="H68" s="107"/>
      <c r="I68" s="107"/>
      <c r="J68" s="107"/>
    </row>
    <row r="69" customFormat="false" ht="39.75" hidden="false" customHeight="true" outlineLevel="0" collapsed="false">
      <c r="A69" s="103" t="s">
        <v>384</v>
      </c>
      <c r="B69" s="98" t="s">
        <v>385</v>
      </c>
      <c r="C69" s="98"/>
      <c r="D69" s="98"/>
      <c r="E69" s="98"/>
      <c r="F69" s="98"/>
      <c r="G69" s="98"/>
      <c r="H69" s="98"/>
      <c r="I69" s="98"/>
      <c r="J69" s="98"/>
    </row>
    <row r="70" customFormat="false" ht="39.75" hidden="false" customHeight="true" outlineLevel="0" collapsed="false">
      <c r="A70" s="104" t="s">
        <v>386</v>
      </c>
      <c r="B70" s="108" t="s">
        <v>387</v>
      </c>
      <c r="C70" s="108"/>
      <c r="D70" s="108"/>
      <c r="E70" s="108"/>
      <c r="F70" s="108"/>
      <c r="G70" s="108"/>
      <c r="H70" s="108"/>
      <c r="I70" s="108"/>
      <c r="J70" s="108"/>
    </row>
    <row r="71" customFormat="false" ht="39.75" hidden="false" customHeight="true" outlineLevel="0" collapsed="false">
      <c r="A71" s="109" t="s">
        <v>388</v>
      </c>
      <c r="B71" s="110" t="s">
        <v>389</v>
      </c>
      <c r="C71" s="110"/>
      <c r="D71" s="110"/>
      <c r="E71" s="110"/>
      <c r="F71" s="110"/>
      <c r="G71" s="110"/>
      <c r="H71" s="110"/>
      <c r="I71" s="110"/>
      <c r="J71" s="110"/>
    </row>
  </sheetData>
  <mergeCells count="9">
    <mergeCell ref="A1:J1"/>
    <mergeCell ref="A2:J2"/>
    <mergeCell ref="A3:J3"/>
    <mergeCell ref="A66:J66"/>
    <mergeCell ref="B67:J67"/>
    <mergeCell ref="B68:J68"/>
    <mergeCell ref="B69:J69"/>
    <mergeCell ref="B70:J70"/>
    <mergeCell ref="B71:J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2026-05-11T13:10:22Z</dcterms:created>
  <dc:creator>openpyxl</dc:creator>
  <dc:description/>
  <dc:language>en-US</dc:language>
  <cp:lastModifiedBy/>
  <dcterms:modified xsi:type="dcterms:W3CDTF">2026-05-11T13:10:23Z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