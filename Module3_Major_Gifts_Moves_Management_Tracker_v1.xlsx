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spect Research Profiles" sheetId="2" state="visible" r:id="rId4"/>
    <sheet name="Moves Management" sheetId="3" state="visible" r:id="rId5"/>
    <sheet name="Proposal Tracker" sheetId="4" state="visible" r:id="rId6"/>
    <sheet name="Stewardship Plans" sheetId="5" state="visible" r:id="rId7"/>
    <sheet name="Portfolio Review" sheetId="6" state="visible" r:id="rId8"/>
    <sheet name="80-20 Revenue 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<sst xmlns="http://schemas.openxmlformats.org/spreadsheetml/2006/main" count="534" uniqueCount="406">
  <si>
    <t xml:space="preserve">MAJOR GIFTS &amp; MOVES MANAGEMENT TOOLKIT</t>
  </si>
  <si>
    <t xml:space="preserve">Module 3: Major Gifts  |  Build Your Club Nonprofit Fundraising Course</t>
  </si>
  <si>
    <t xml:space="preserve">ORGANIZATION INFORMATION</t>
  </si>
  <si>
    <t xml:space="preserve">Organization Name:</t>
  </si>
  <si>
    <t xml:space="preserve">Fiscal Year:</t>
  </si>
  <si>
    <t xml:space="preserve">Major Gift Threshold: $</t>
  </si>
  <si>
    <t xml:space="preserve">Development Officer:</t>
  </si>
  <si>
    <t xml:space="preserve">Date Updated:</t>
  </si>
  <si>
    <t xml:space="preserve">MAJOR GIFT PIPELINE SUMMARY</t>
  </si>
  <si>
    <t xml:space="preserve">ℹ  Counts auto-populate from the Moves Management sheet (column D = Stage). Update that sheet to refresh.</t>
  </si>
  <si>
    <t xml:space="preserve">Stage</t>
  </si>
  <si>
    <t xml:space="preserve"># Prospects</t>
  </si>
  <si>
    <t xml:space="preserve">% of Pipeline</t>
  </si>
  <si>
    <t xml:space="preserve">Total Ask Value ($)</t>
  </si>
  <si>
    <t xml:space="preserve">Avg Ask ($)</t>
  </si>
  <si>
    <t xml:space="preserve">Notes</t>
  </si>
  <si>
    <t xml:space="preserve">Identification</t>
  </si>
  <si>
    <t xml:space="preserve">Initial list — not yet researched</t>
  </si>
  <si>
    <t xml:space="preserve">Research</t>
  </si>
  <si>
    <t xml:space="preserve">Background research underway</t>
  </si>
  <si>
    <t xml:space="preserve">Cultivation</t>
  </si>
  <si>
    <t xml:space="preserve">Active moves being executed</t>
  </si>
  <si>
    <t xml:space="preserve">Solicitation Ready</t>
  </si>
  <si>
    <t xml:space="preserve">Ready to ask — plan it now</t>
  </si>
  <si>
    <t xml:space="preserve">Proposal Submitted</t>
  </si>
  <si>
    <t xml:space="preserve">Awaiting decision</t>
  </si>
  <si>
    <t xml:space="preserve">Gift Received</t>
  </si>
  <si>
    <t xml:space="preserve">Gift closed this period</t>
  </si>
  <si>
    <t xml:space="preserve">Stewardship</t>
  </si>
  <si>
    <t xml:space="preserve">Executing post-gift stewardship plan</t>
  </si>
  <si>
    <t xml:space="preserve">TOTAL PIPELINE</t>
  </si>
  <si>
    <t xml:space="preserve">100%</t>
  </si>
  <si>
    <t xml:space="preserve">KEY PERFORMANCE INDICATORS</t>
  </si>
  <si>
    <t xml:space="preserve">KPI</t>
  </si>
  <si>
    <t xml:space="preserve">Current</t>
  </si>
  <si>
    <t xml:space="preserve">Target</t>
  </si>
  <si>
    <t xml:space="preserve">Status</t>
  </si>
  <si>
    <t xml:space="preserve">Benchmark Notes</t>
  </si>
  <si>
    <t xml:space="preserve">Major Gifts Revenue YTD ($)</t>
  </si>
  <si>
    <t xml:space="preserve">Enter total closed major gift revenue this year</t>
  </si>
  <si>
    <t xml:space="preserve">Annual Major Gift Goal ($)</t>
  </si>
  <si>
    <t xml:space="preserve">Enter annual major gift revenue target</t>
  </si>
  <si>
    <t xml:space="preserve">% of Goal Achieved</t>
  </si>
  <si>
    <t xml:space="preserve">Auto-calc when rows above are filled</t>
  </si>
  <si>
    <t xml:space="preserve"># Prospects in Active Cultivation</t>
  </si>
  <si>
    <t xml:space="preserve">20–50</t>
  </si>
  <si>
    <t xml:space="preserve">Per MGO; 100–150 in larger shops</t>
  </si>
  <si>
    <t xml:space="preserve"># Solicitation-Ready Prospects</t>
  </si>
  <si>
    <t xml:space="preserve">5–10</t>
  </si>
  <si>
    <t xml:space="preserve">Always have asks in the pipeline</t>
  </si>
  <si>
    <t xml:space="preserve">Proposals Outstanding</t>
  </si>
  <si>
    <t xml:space="preserve">From Proposal Tracker sheet</t>
  </si>
  <si>
    <t xml:space="preserve">Avg. Major Gift Size ($)</t>
  </si>
  <si>
    <t xml:space="preserve">Total revenue ÷ # of gifts</t>
  </si>
  <si>
    <t xml:space="preserve">Prospects Overdue (90-day rule)</t>
  </si>
  <si>
    <t xml:space="preserve">0</t>
  </si>
  <si>
    <t xml:space="preserve">Zero tolerance — act on any flagged prospects immediately</t>
  </si>
  <si>
    <t xml:space="preserve">Major Donor Retention Rate</t>
  </si>
  <si>
    <t xml:space="preserve">70%+</t>
  </si>
  <si>
    <t xml:space="preserve">% of prior-year major donors who renewed</t>
  </si>
  <si>
    <t xml:space="preserve">Close Rate (Gifts ÷ Proposals)</t>
  </si>
  <si>
    <t xml:space="preserve">40–60%</t>
  </si>
  <si>
    <t xml:space="preserve"># gifts received ÷ # proposals submitted</t>
  </si>
  <si>
    <t xml:space="preserve">STATUS: ✅ On Track  |  ⚠️ Needs Attention  |  ❌ Off Track  |  📋 Not Yet Measured   (enter in column D)</t>
  </si>
  <si>
    <t xml:space="preserve">PROSPECT RESEARCH PROFILES — MAJOR GIFT INTELLIGENCE</t>
  </si>
  <si>
    <t xml:space="preserve">Module 3: Major Gifts  |  Know your prospects deeply before investing cultivation time</t>
  </si>
  <si>
    <t xml:space="preserve">ℹ  INSTRUCTIONS: Complete a research profile for every major gift prospect before cultivation begins. Tier 1 = all three Cs high; Tier 2 = two strong; Tier 3 = one strong or capacity only. All data is confidential — internal use only.</t>
  </si>
  <si>
    <t xml:space="preserve">ID / NAME</t>
  </si>
  <si>
    <t xml:space="preserve">THREE Cs QUALIFICATION</t>
  </si>
  <si>
    <t xml:space="preserve">FINANCIAL PROFILE</t>
  </si>
  <si>
    <t xml:space="preserve">PHILANTHROPIC HISTORY</t>
  </si>
  <si>
    <t xml:space="preserve">ORG RELATIONSHIP</t>
  </si>
  <si>
    <t xml:space="preserve">#</t>
  </si>
  <si>
    <t xml:space="preserve">Prospect Name</t>
  </si>
  <si>
    <t xml:space="preserve">Tier Rating</t>
  </si>
  <si>
    <t xml:space="preserve">Cap
(H/M/L)</t>
  </si>
  <si>
    <t xml:space="preserve">Conn
(H/M/L)</t>
  </si>
  <si>
    <t xml:space="preserve">Conc
(H/M/L)</t>
  </si>
  <si>
    <t xml:space="preserve">Est. Capacity
Range</t>
  </si>
  <si>
    <t xml:space="preserve">Proposed Ask ($)</t>
  </si>
  <si>
    <t xml:space="preserve">Known Gifts to
Other Orgs</t>
  </si>
  <si>
    <t xml:space="preserve">Philanthropic
Interests</t>
  </si>
  <si>
    <t xml:space="preserve">Org Connection
&amp; History</t>
  </si>
  <si>
    <t xml:space="preserve">Research Notes / Source</t>
  </si>
  <si>
    <t xml:space="preserve">Eleanor &amp; James Whitfield</t>
  </si>
  <si>
    <t xml:space="preserve">Tier 1</t>
  </si>
  <si>
    <t xml:space="preserve">H</t>
  </si>
  <si>
    <t xml:space="preserve">$500K–$2M</t>
  </si>
  <si>
    <t xml:space="preserve">$50K City Arts Fund; $100K State U</t>
  </si>
  <si>
    <t xml:space="preserve">Education, arts, community</t>
  </si>
  <si>
    <t xml:space="preserve">10-yr donors; 3 events; board intro</t>
  </si>
  <si>
    <t xml:space="preserve">Real estate $1.8M county records; 990s; peer screening</t>
  </si>
  <si>
    <t xml:space="preserve">Dr. Marcus Chen</t>
  </si>
  <si>
    <t xml:space="preserve">M</t>
  </si>
  <si>
    <t xml:space="preserve">$1M–$5M</t>
  </si>
  <si>
    <t xml:space="preserve">$25K/yr Hospital Foundation</t>
  </si>
  <si>
    <t xml:space="preserve">Healthcare, youth mentorship</t>
  </si>
  <si>
    <t xml:space="preserve">Volunteer mentor 3 yrs; first gift $5K last year</t>
  </si>
  <si>
    <t xml:space="preserve">DonorSearch score 92; LinkedIn: retired surgeon</t>
  </si>
  <si>
    <t xml:space="preserve">Patricia &amp; Robert Goldstein</t>
  </si>
  <si>
    <t xml:space="preserve">Tier 2</t>
  </si>
  <si>
    <t xml:space="preserve">L</t>
  </si>
  <si>
    <t xml:space="preserve">$2M+</t>
  </si>
  <si>
    <t xml:space="preserve">Unknown — new prospect</t>
  </si>
  <si>
    <t xml:space="preserve">Environment, community</t>
  </si>
  <si>
    <t xml:space="preserve">Referred by board; no prior contact</t>
  </si>
  <si>
    <t xml:space="preserve">Property $2.4M; foundation 990 shows $30K+/yr giving</t>
  </si>
  <si>
    <t xml:space="preserve">Hendricks Family Trust</t>
  </si>
  <si>
    <t xml:space="preserve">$100K–$500K</t>
  </si>
  <si>
    <t xml:space="preserve">History unknown</t>
  </si>
  <si>
    <t xml:space="preserve">Children's services</t>
  </si>
  <si>
    <t xml:space="preserve">Long-time volunteers; never solicited</t>
  </si>
  <si>
    <t xml:space="preserve">Board peer screening; modest but loyal givers</t>
  </si>
  <si>
    <t xml:space="preserve">William Park</t>
  </si>
  <si>
    <t xml:space="preserve">Tier 3</t>
  </si>
  <si>
    <t xml:space="preserve">$5M+</t>
  </si>
  <si>
    <t xml:space="preserve">Hospital + university gifts</t>
  </si>
  <si>
    <t xml:space="preserve">Healthcare, higher ed</t>
  </si>
  <si>
    <t xml:space="preserve">No org connection — cold prospect</t>
  </si>
  <si>
    <t xml:space="preserve">iWave score A+; needs 2–3 yr cultivation investment</t>
  </si>
  <si>
    <t xml:space="preserve">PROSPECT TIER REFERENCE</t>
  </si>
  <si>
    <t xml:space="preserve">Tier 1 — Top Priority</t>
  </si>
  <si>
    <t xml:space="preserve">All three Cs strong. Assign to active personal cultivation NOW. Target 20–30 in portfolio at all times. Personal contact within 30 days.</t>
  </si>
  <si>
    <t xml:space="preserve">Tier 2 — Strong Potential</t>
  </si>
  <si>
    <t xml:space="preserve">Two of three Cs strong. Solid prospect needing development. Engage through events and communication. Elevate to Tier 1 as connection grows.</t>
  </si>
  <si>
    <t xml:space="preserve">Tier 3 — Watch List</t>
  </si>
  <si>
    <t xml:space="preserve">Capacity present but connection or concern weak. Long-term pipeline. Keep in newsletters; find warm introduction opportunities. Not yet ready for personal cultivation investment.</t>
  </si>
  <si>
    <t xml:space="preserve">MOVES MANAGEMENT TRACKER — MAJOR GIFT PORTFOLIO</t>
  </si>
  <si>
    <t xml:space="preserve">Module 3: Major Gifts  |  Every prospect. Every move. Every next step. No one goes 90 days without contact.</t>
  </si>
  <si>
    <t xml:space="preserve">ℹ  INSTRUCTIONS: This is your primary working document. Update Stage after every significant interaction. The 90-Day Status column auto-flags overdue prospects. Review weekly and sort column K (Next Move Date) to prioritize actions.</t>
  </si>
  <si>
    <t xml:space="preserve">Tier</t>
  </si>
  <si>
    <t xml:space="preserve">Proposed
Ask ($)</t>
  </si>
  <si>
    <t xml:space="preserve">Gift Purpose</t>
  </si>
  <si>
    <t xml:space="preserve">Priority
(1–10)</t>
  </si>
  <si>
    <t xml:space="preserve">Last Move &amp;
Outcome</t>
  </si>
  <si>
    <t xml:space="preserve">Next Planned
Move</t>
  </si>
  <si>
    <t xml:space="preserve">Next Move
Date</t>
  </si>
  <si>
    <t xml:space="preserve">Assigned
To</t>
  </si>
  <si>
    <t xml:space="preserve">90-Day
Status</t>
  </si>
  <si>
    <t xml:space="preserve">Named Education Center</t>
  </si>
  <si>
    <t xml:space="preserve">04/20: Site visit — Ellie moved by student presentations. James asked about naming opportunities.</t>
  </si>
  <si>
    <t xml:space="preserve">ED lunch to discuss named gift proposal</t>
  </si>
  <si>
    <t xml:space="preserve">05/15/2026</t>
  </si>
  <si>
    <t xml:space="preserve">Executive Director</t>
  </si>
  <si>
    <t xml:space="preserve">✅ ON TRACK</t>
  </si>
  <si>
    <t xml:space="preserve">Youth Mentorship Endowment</t>
  </si>
  <si>
    <t xml:space="preserve">04/28: Discovery dinner. Ready to be asked. Said 'I want to do something significant this year.'</t>
  </si>
  <si>
    <t xml:space="preserve">Face-to-face ask — prepare written proposal first</t>
  </si>
  <si>
    <t xml:space="preserve">05/10/2026</t>
  </si>
  <si>
    <t xml:space="preserve">Dev. Director</t>
  </si>
  <si>
    <t xml:space="preserve">Environmental Program</t>
  </si>
  <si>
    <t xml:space="preserve">03/15: Board member email intro. Goldsteins expressed interest in a site visit.</t>
  </si>
  <si>
    <t xml:space="preserve">Invite to spring program tour</t>
  </si>
  <si>
    <t xml:space="preserve">05/22/2026</t>
  </si>
  <si>
    <t xml:space="preserve">Board Member (Gina)</t>
  </si>
  <si>
    <t xml:space="preserve">Children's Services Fund</t>
  </si>
  <si>
    <t xml:space="preserve">04/05: Volunteer event conversation with Tom H. about program expansion.</t>
  </si>
  <si>
    <t xml:space="preserve">Thank-you call from ED + personalized impact update</t>
  </si>
  <si>
    <t xml:space="preserve">05/01/2026</t>
  </si>
  <si>
    <t xml:space="preserve">Capital Campaign</t>
  </si>
  <si>
    <t xml:space="preserve">04/10: Initial wealth research complete. Score A+. No org connection found.</t>
  </si>
  <si>
    <t xml:space="preserve">Board peer screening — identify connection to Park</t>
  </si>
  <si>
    <t xml:space="preserve">06/01/2026</t>
  </si>
  <si>
    <t xml:space="preserve">Sandra &amp; Leo Morales</t>
  </si>
  <si>
    <t xml:space="preserve">Scholarship Fund</t>
  </si>
  <si>
    <t xml:space="preserve">03/01: Gift of $75K received. Named scholarship established. Immediate thank-you from ED.</t>
  </si>
  <si>
    <t xml:space="preserve">6-month impact report — introduce to first scholarship recipient</t>
  </si>
  <si>
    <t xml:space="preserve">09/01/2026</t>
  </si>
  <si>
    <t xml:space="preserve">—</t>
  </si>
  <si>
    <t xml:space="preserve">Frank Nguyen</t>
  </si>
  <si>
    <t xml:space="preserve">Annual Fund Upgrade</t>
  </si>
  <si>
    <t xml:space="preserve">05/01: Flagged by peer screening. $3K annual donor for 6 years — never personally cultivated.</t>
  </si>
  <si>
    <t xml:space="preserve">Research: giving history, LinkedIn, property records</t>
  </si>
  <si>
    <t xml:space="preserve">05/20/2026</t>
  </si>
  <si>
    <t xml:space="preserve">STAGE REFERENCE</t>
  </si>
  <si>
    <t xml:space="preserve">Prospect identified; research not started. Assign to portfolio immediately.</t>
  </si>
  <si>
    <t xml:space="preserve">Background research underway. Complete before any personal outreach.</t>
  </si>
  <si>
    <t xml:space="preserve">Active moves being executed. No prospect should go 90 days without a documented contact.</t>
  </si>
  <si>
    <t xml:space="preserve">Cultivation complete; readiness confirmed. Plan and execute ask within 30 days.</t>
  </si>
  <si>
    <t xml:space="preserve">Formal ask made. Follow up within 1 week, then every 2–3 weeks until decision.</t>
  </si>
  <si>
    <t xml:space="preserve">Gift closed. Execute immediate acknowledgment and transition to Stewardship.</t>
  </si>
  <si>
    <t xml:space="preserve">Post-gift stewardship active. 4–6 personal touches per year. Begin renewal cultivation at 6–12 months.</t>
  </si>
  <si>
    <t xml:space="preserve">Declined</t>
  </si>
  <si>
    <t xml:space="preserve">Ask declined. Thank graciously. Continue respectful stewardship. Re-evaluate in 12 months.</t>
  </si>
  <si>
    <t xml:space="preserve">MAJOR GIFT PROPOSAL TRACKER</t>
  </si>
  <si>
    <t xml:space="preserve">Module 3: Major Gifts  |  Track every formal ask from preparation through final outcome</t>
  </si>
  <si>
    <t xml:space="preserve">ℹ  INSTRUCTIONS: Log every formal major gift solicitation. A proposal is any written or verbal ask at or above your major gift threshold. Proposals without a documented follow-up plan are the most common reason major gifts are lost.</t>
  </si>
  <si>
    <t xml:space="preserve">Total Proposals:</t>
  </si>
  <si>
    <t xml:space="preserve">Total Asked ($):</t>
  </si>
  <si>
    <t xml:space="preserve">Total Closed ($):</t>
  </si>
  <si>
    <t xml:space="preserve">Close Rate:</t>
  </si>
  <si>
    <t xml:space="preserve">Pending:</t>
  </si>
  <si>
    <t xml:space="preserve">Proposal
Date</t>
  </si>
  <si>
    <t xml:space="preserve">Method</t>
  </si>
  <si>
    <t xml:space="preserve">Amount
Requested ($)</t>
  </si>
  <si>
    <t xml:space="preserve">Actual Gift
Received ($)</t>
  </si>
  <si>
    <t xml:space="preserve">Follow-Up
Deadline</t>
  </si>
  <si>
    <t xml:space="preserve">Decision
Date</t>
  </si>
  <si>
    <t xml:space="preserve">Assigned
Solicitor</t>
  </si>
  <si>
    <t xml:space="preserve">Next Steps / Notes</t>
  </si>
  <si>
    <t xml:space="preserve">Face-to-Face</t>
  </si>
  <si>
    <t xml:space="preserve">Submitted</t>
  </si>
  <si>
    <t xml:space="preserve">05/17/2026</t>
  </si>
  <si>
    <t xml:space="preserve">Asked at dinner — positive. Follow up 5/17.</t>
  </si>
  <si>
    <t xml:space="preserve">Under Consideration</t>
  </si>
  <si>
    <t xml:space="preserve">06/03/2026</t>
  </si>
  <si>
    <t xml:space="preserve">Named gift proposal delivered. Reviewing with family attorney.</t>
  </si>
  <si>
    <t xml:space="preserve">02/28/2026</t>
  </si>
  <si>
    <t xml:space="preserve">03/01/2026</t>
  </si>
  <si>
    <t xml:space="preserve">Gift closed! Named scholarship established. Stewardship active.</t>
  </si>
  <si>
    <t xml:space="preserve">Board Referral Prospect</t>
  </si>
  <si>
    <t xml:space="preserve">04/01/2026</t>
  </si>
  <si>
    <t xml:space="preserve">Written Proposal</t>
  </si>
  <si>
    <t xml:space="preserve">04/15/2026</t>
  </si>
  <si>
    <t xml:space="preserve">Board Member</t>
  </si>
  <si>
    <t xml:space="preserve">Accepted at lower amount ($10K). Strong upgrade candidate.</t>
  </si>
  <si>
    <t xml:space="preserve">50000</t>
  </si>
  <si>
    <t xml:space="preserve">Site visit needed before formal ask — in progress.</t>
  </si>
  <si>
    <t xml:space="preserve">PROPOSAL STATUS REFERENCE</t>
  </si>
  <si>
    <t xml:space="preserve">Ask made; no response yet. Follow up within 1 week.</t>
  </si>
  <si>
    <t xml:space="preserve">Donor is reviewing. Follow up every 2–3 weeks.</t>
  </si>
  <si>
    <t xml:space="preserve">Gift closed. Begin stewardship immediately.</t>
  </si>
  <si>
    <t xml:space="preserve">Pledge Received</t>
  </si>
  <si>
    <t xml:space="preserve">Multi-year pledge committed. Document payment schedule.</t>
  </si>
  <si>
    <t xml:space="preserve">Declined this cycle. Thank graciously; re-evaluate in 12 months.</t>
  </si>
  <si>
    <t xml:space="preserve">Withdrawn</t>
  </si>
  <si>
    <t xml:space="preserve">Proposal withdrawn. Re-approach when timing improves.</t>
  </si>
  <si>
    <t xml:space="preserve">MAJOR DONOR STEWARDSHIP PLANS — 12-MONTH TOUCHPOINT CALENDAR</t>
  </si>
  <si>
    <t xml:space="preserve">Module 3: Major Gifts  |  Every major donor deserves a written plan. Target: 6–10 personal touches per year.</t>
  </si>
  <si>
    <t xml:space="preserve">ℹ  INSTRUCTIONS: Add every major donor. Plan touchpoints month by month. Mark 'Done ✓' as completed. Aim for 6–10 touches annually. Immediate post-gift sequence: 24-hr call → personal note within 1 week → formal acknowledgment within 2 weeks.</t>
  </si>
  <si>
    <t xml:space="preserve">Major Donor Name</t>
  </si>
  <si>
    <t xml:space="preserve">Gift ($)</t>
  </si>
  <si>
    <t xml:space="preserve">Gift Date</t>
  </si>
  <si>
    <t xml:space="preserve">Priority Notes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</si>
  <si>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</si>
  <si>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</si>
  <si>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</si>
  <si>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</si>
  <si>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</si>
  <si>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</si>
  <si>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</si>
  <si>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</si>
  <si>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</si>
  <si>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</si>
  <si>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</si>
  <si>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</si>
  <si>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Mar 2026</t>
  </si>
  <si>
    <t xml:space="preserve">Named scholarship — HIGH priority. Planned gift potential.</t>
  </si>
  <si>
    <t xml:space="preserve">24-hr
Thank-You
Call</t>
  </si>
  <si>
    <t xml:space="preserve">Formal
Ack.
Letter</t>
  </si>
  <si>
    <t xml:space="preserve">Scholar
ship
Selection</t>
  </si>
  <si>
    <t xml:space="preserve">Impact
Update</t>
  </si>
  <si>
    <t xml:space="preserve">Site Visit:
Meet
Scholar</t>
  </si>
  <si>
    <t xml:space="preserve">Mid-Year
Report</t>
  </si>
  <si>
    <t xml:space="preserve">Annual
Report</t>
  </si>
  <si>
    <t xml:space="preserve">Renewal
Cultivation</t>
  </si>
  <si>
    <t xml:space="preserve">Renewal
Ask?</t>
  </si>
  <si>
    <t xml:space="preserve">Pending</t>
  </si>
  <si>
    <t xml:space="preserve">Named Education Center — transformational gift in progress.</t>
  </si>
  <si>
    <t xml:space="preserve">Cultivation
Mtg</t>
  </si>
  <si>
    <t xml:space="preserve">Proposal
Delivered</t>
  </si>
  <si>
    <t xml:space="preserve">Follow-Up
Meeting</t>
  </si>
  <si>
    <t xml:space="preserve">Site Visit</t>
  </si>
  <si>
    <t xml:space="preserve">Board
Lunch</t>
  </si>
  <si>
    <t xml:space="preserve">Renewal
Convo</t>
  </si>
  <si>
    <t xml:space="preserve">Youth endowment ask pending May 2026.</t>
  </si>
  <si>
    <t xml:space="preserve">Discovery
Dinner</t>
  </si>
  <si>
    <t xml:space="preserve">Ask
Meeting</t>
  </si>
  <si>
    <t xml:space="preserve">Post-Ask
Note</t>
  </si>
  <si>
    <t xml:space="preserve">Event
Invite</t>
  </si>
  <si>
    <t xml:space="preserve">Anonymous Board Gift</t>
  </si>
  <si>
    <t xml:space="preserve">Apr 2026</t>
  </si>
  <si>
    <t xml:space="preserve">First major gift — upgrade path to $25K in 2027.</t>
  </si>
  <si>
    <t xml:space="preserve">Thank-You
Call</t>
  </si>
  <si>
    <t xml:space="preserve">Formal
Ack.</t>
  </si>
  <si>
    <t xml:space="preserve">Phone
Check-In</t>
  </si>
  <si>
    <t xml:space="preserve">Renewal
Ask</t>
  </si>
  <si>
    <t xml:space="preserve">Volunteer-to-donor path — first ask upcoming.</t>
  </si>
  <si>
    <t xml:space="preserve">Vol.
Recognition</t>
  </si>
  <si>
    <t xml:space="preserve">Discovery
Call</t>
  </si>
  <si>
    <t xml:space="preserve">Cultivation
Call</t>
  </si>
  <si>
    <t xml:space="preserve">Ask?</t>
  </si>
  <si>
    <t xml:space="preserve">MAJOR DONOR STEWARDSHIP SEQUENCE — FIRST 12 MONTHS POST-GIFT</t>
  </si>
  <si>
    <t xml:space="preserve">Within 24–48 hrs</t>
  </si>
  <si>
    <t xml:space="preserve">Personal phone call from the Executive Director or MGO. Warm and brief — pure appreciation, no agenda.</t>
  </si>
  <si>
    <t xml:space="preserve">Within 1 week</t>
  </si>
  <si>
    <t xml:space="preserve">Handwritten personal note from the ED. 3–4 sentences. Specific to this donor and this gift.</t>
  </si>
  <si>
    <t xml:space="preserve">Within 2 weeks</t>
  </si>
  <si>
    <t xml:space="preserve">Formal IRS-compliant acknowledgment letter. Warm and impact-focused — never a form letter.</t>
  </si>
  <si>
    <t xml:space="preserve">Month 2–3</t>
  </si>
  <si>
    <t xml:space="preserve">Personalized impact update — a specific story or photo showing the gift at work. Not a newsletter.</t>
  </si>
  <si>
    <t xml:space="preserve">Month 4–5</t>
  </si>
  <si>
    <t xml:space="preserve">Personal touchpoint: site visit, program introduction, or exclusive event invitation.</t>
  </si>
  <si>
    <t xml:space="preserve">Month 6</t>
  </si>
  <si>
    <t xml:space="preserve">Mid-year impact report specific to their gift's purpose (named fund update, scholarship selection, program outcome).</t>
  </si>
  <si>
    <t xml:space="preserve">Month 7–8</t>
  </si>
  <si>
    <t xml:space="preserve">Personal check-in — no ask. Share a news item or recognition related to their interests.</t>
  </si>
  <si>
    <t xml:space="preserve">Month 9–10</t>
  </si>
  <si>
    <t xml:space="preserve">Annual report and appropriate recognition (with consent). Board or leadership engagement.</t>
  </si>
  <si>
    <t xml:space="preserve">Month 11</t>
  </si>
  <si>
    <t xml:space="preserve">Soft cultivation conversation — listen, learn, and explore their evolving philanthropic priorities.</t>
  </si>
  <si>
    <t xml:space="preserve">Month 12</t>
  </si>
  <si>
    <t xml:space="preserve">Renewal solicitation — framed as continuing and growing their impact, not a routine annual ask.</t>
  </si>
  <si>
    <t xml:space="preserve">18–24 months+</t>
  </si>
  <si>
    <t xml:space="preserve">For deeply committed donors: gentle, unhurried conversations about legacy and planned giving.</t>
  </si>
  <si>
    <t xml:space="preserve">MAJOR GIFT PORTFOLIO REVIEW CHECKLIST</t>
  </si>
  <si>
    <t xml:space="preserve">Module 3: Major Gifts  |  Review monthly (quarterly minimum) to keep every prospect advancing</t>
  </si>
  <si>
    <t xml:space="preserve">ℹ  INSTRUCTIONS: Complete at each portfolio review. Use these questions to drive productive conversations with your ED, board, or development team. Update the Moves Management Tracker immediately after each review session.</t>
  </si>
  <si>
    <t xml:space="preserve">REVIEW SESSION DETAILS</t>
  </si>
  <si>
    <t xml:space="preserve">Review Date:</t>
  </si>
  <si>
    <t xml:space="preserve">Reviewer(s):</t>
  </si>
  <si>
    <t xml:space="preserve">Period Covered:</t>
  </si>
  <si>
    <t xml:space="preserve">Portfolio Size (# prospects):</t>
  </si>
  <si>
    <t xml:space="preserve">PIPELINE HEALTH</t>
  </si>
  <si>
    <t xml:space="preserve">Review Question</t>
  </si>
  <si>
    <t xml:space="preserve">Yes / No /
Partial</t>
  </si>
  <si>
    <t xml:space="preserve">Names / Notes</t>
  </si>
  <si>
    <t xml:space="preserve">Are all Tier 1 prospects being contacted at least once every 60 days?</t>
  </si>
  <si>
    <t xml:space="preserve">Does every active cultivation prospect have a documented next move with a specific date and owner?</t>
  </si>
  <si>
    <t xml:space="preserve">Which prospects have gone 90+ days without a meaningful move? (Name them below)</t>
  </si>
  <si>
    <t xml:space="preserve">Which prospects are showing readiness signals and should move to Solicitation Ready?</t>
  </si>
  <si>
    <t xml:space="preserve">Which prospects are stalled despite repeated effort and should be de-prioritized to Tier 3?</t>
  </si>
  <si>
    <t xml:space="preserve">Are proposed ask amounts still accurate given what we have learned in cultivation?</t>
  </si>
  <si>
    <t xml:space="preserve">Do we have any prospects ready to be asked this month — and is the ask scheduled?</t>
  </si>
  <si>
    <t xml:space="preserve">PORTFOLIO ADDITIONS &amp; EXITS</t>
  </si>
  <si>
    <t xml:space="preserve">How many prospects were exited (gift received or declined) this period?</t>
  </si>
  <si>
    <t xml:space="preserve">Which Tier 3 prospects should be elevated to Tier 2 or Tier 1 based on recent engagement?</t>
  </si>
  <si>
    <t xml:space="preserve">Did any board members identify new prospects? Who will research and follow up?</t>
  </si>
  <si>
    <t xml:space="preserve">Are there lapsed major donors who should re-enter active cultivation?</t>
  </si>
  <si>
    <t xml:space="preserve">Are we maintaining the right portfolio size (20–50 Tier 1 prospects per MGO)?</t>
  </si>
  <si>
    <t xml:space="preserve">SOLICITATION PIPELINE</t>
  </si>
  <si>
    <t xml:space="preserve">How many proposals are currently outstanding? What is the combined dollar amount?</t>
  </si>
  <si>
    <t xml:space="preserve">Which outstanding proposals are overdue for a follow-up and need immediate attention?</t>
  </si>
  <si>
    <t xml:space="preserve">Are there Solicitation Ready prospects with no scheduled ask date? Who makes the ask and when?</t>
  </si>
  <si>
    <t xml:space="preserve">For any declined proposals: what did we learn, and what is the re-engagement plan?</t>
  </si>
  <si>
    <t xml:space="preserve">STEWARDSHIP REVIEW</t>
  </si>
  <si>
    <t xml:space="preserve">Which major donors have not received a personal touchpoint in 60+ days?</t>
  </si>
  <si>
    <t xml:space="preserve">Are all post-gift stewardship plans being executed on schedule?</t>
  </si>
  <si>
    <t xml:space="preserve">Which donors are approaching 12 months post-gift and need a renewal cultivation plan?</t>
  </si>
  <si>
    <t xml:space="preserve">Is there a donor ready for a planned giving conversation? Who initiates it?</t>
  </si>
  <si>
    <t xml:space="preserve">ACTION ITEMS</t>
  </si>
  <si>
    <t xml:space="preserve">Action Item</t>
  </si>
  <si>
    <t xml:space="preserve">Assigned To</t>
  </si>
  <si>
    <t xml:space="preserve">Due Date</t>
  </si>
  <si>
    <t xml:space="preserve">Action Item 1:</t>
  </si>
  <si>
    <t xml:space="preserve">Action Item 2:</t>
  </si>
  <si>
    <t xml:space="preserve">Action Item 3:</t>
  </si>
  <si>
    <t xml:space="preserve">Action Item 4:</t>
  </si>
  <si>
    <t xml:space="preserve">Action Item 5:</t>
  </si>
  <si>
    <t xml:space="preserve">Next Review Date:</t>
  </si>
  <si>
    <t xml:space="preserve">80/20 REVENUE ANALYSIS — DONOR GIVING CONCENTRATION</t>
  </si>
  <si>
    <t xml:space="preserve">Module 3: Major Gifts  |  Understand concentration to prioritize cultivation and mitigate risk</t>
  </si>
  <si>
    <t xml:space="preserve">ℹ  INSTRUCTIONS: Enter each donor's giving in the ledger below (sorted largest to smallest). Summary metrics auto-calculate. Run annually and share with your board development committee. Blue cells = data entry required.</t>
  </si>
  <si>
    <t xml:space="preserve">CONCENTRATION SUMMARY</t>
  </si>
  <si>
    <t xml:space="preserve">Total Donors (this fiscal year)</t>
  </si>
  <si>
    <t xml:space="preserve">Enter total unique donors at all levels</t>
  </si>
  <si>
    <t xml:space="preserve">Total Individual Giving Revenue ($)</t>
  </si>
  <si>
    <t xml:space="preserve">Enter total individual giving revenue</t>
  </si>
  <si>
    <t xml:space="preserve">Major Gift Threshold ($)</t>
  </si>
  <si>
    <t xml:space="preserve">Enter your org's major gift threshold</t>
  </si>
  <si>
    <t xml:space="preserve"># of Major Donors</t>
  </si>
  <si>
    <t xml:space="preserve">Auto-calc from ledger</t>
  </si>
  <si>
    <t xml:space="preserve">Total Major Gift Revenue ($)</t>
  </si>
  <si>
    <t xml:space="preserve">Major Gifts % of Total Revenue</t>
  </si>
  <si>
    <t xml:space="preserve">Auto-calc</t>
  </si>
  <si>
    <t xml:space="preserve">Major Donors % of Total Donors</t>
  </si>
  <si>
    <t xml:space="preserve">Top 10 Donors Total Giving ($)</t>
  </si>
  <si>
    <t xml:space="preserve">Auto-calc (requires table sorted largest→smallest)</t>
  </si>
  <si>
    <t xml:space="preserve">Top 10 as % of Total Revenue</t>
  </si>
  <si>
    <t xml:space="preserve">DONOR GIVING LEDGER  (Sort column C largest → smallest for accurate cumulative calculations)</t>
  </si>
  <si>
    <t xml:space="preserve">Donor Name</t>
  </si>
  <si>
    <t xml:space="preserve">Prospect Tier</t>
  </si>
  <si>
    <t xml:space="preserve">Gift Amount
This Year ($)</t>
  </si>
  <si>
    <t xml:space="preserve">Cumulative
Total ($)</t>
  </si>
  <si>
    <t xml:space="preserve">Cumulative
% of Revenue</t>
  </si>
  <si>
    <t xml:space="preserve">YOY Change
(+/-)</t>
  </si>
  <si>
    <t xml:space="preserve">Notes / Stewardship Flag</t>
  </si>
  <si>
    <t xml:space="preserve">New</t>
  </si>
  <si>
    <t xml:space="preserve">Gift closed Mar 2026</t>
  </si>
  <si>
    <t xml:space="preserve">Anonymous Board Donor</t>
  </si>
  <si>
    <t xml:space="preserve"> +25%</t>
  </si>
  <si>
    <t xml:space="preserve">Upgrade from $8K</t>
  </si>
  <si>
    <t xml:space="preserve">Gift pending May 2026</t>
  </si>
  <si>
    <t xml:space="preserve">Gift pending — proposal delivered</t>
  </si>
  <si>
    <t xml:space="preserve">The Hendricks Family</t>
  </si>
  <si>
    <t xml:space="preserve">First major gift pending</t>
  </si>
  <si>
    <t xml:space="preserve">James Thompson</t>
  </si>
  <si>
    <t xml:space="preserve">Mid-Level</t>
  </si>
  <si>
    <t xml:space="preserve">0%</t>
  </si>
  <si>
    <t xml:space="preserve">Renewed at same level</t>
  </si>
  <si>
    <t xml:space="preserve">Susan Park</t>
  </si>
  <si>
    <t xml:space="preserve"> -25%</t>
  </si>
  <si>
    <t xml:space="preserve">Downgraded — personal follow-up needed</t>
  </si>
  <si>
    <t xml:space="preserve">Maria Garcia</t>
  </si>
  <si>
    <t xml:space="preserve">Cultivation in progress</t>
  </si>
  <si>
    <t xml:space="preserve">Robert Lee</t>
  </si>
  <si>
    <t xml:space="preserve">Annual</t>
  </si>
  <si>
    <t xml:space="preserve">Consistent annual donor</t>
  </si>
  <si>
    <t xml:space="preserve">Patricia Williams</t>
  </si>
  <si>
    <t xml:space="preserve">First-time donor</t>
  </si>
  <si>
    <t xml:space="preserve">WHAT YOUR NUMBERS MEAN</t>
  </si>
  <si>
    <t xml:space="preserve">• If your top 10 donors represent 60–80% of total individual revenue, you have healthy major gift concentration — and a significant vulnerability. Losing one top donor could be catastrophic.</t>
  </si>
  <si>
    <t xml:space="preserve">• If major donors are less than 5% of your total donors but generate 80%+ of revenue, you must grow the pipeline — while protecting existing relationships at all costs.</t>
  </si>
  <si>
    <t xml:space="preserve">• A top-10 concentration above 80% signals excessive dependence on very few relationships. Priority: expand active Tier 1 portfolio to 25–30 prospects immediately.</t>
  </si>
  <si>
    <t xml:space="preserve">• Year-over-year gift changes reveal stewardship quality. Any downgrade or lapse in your top tier demands immediate personal attention from leadership — not a letter.</t>
  </si>
  <si>
    <t xml:space="preserve">• Share this analysis with your board development committee annually. Most boards are surprised by the actual concentration in their giving program.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</si>
</sst>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;&quot;($&quot;#,##0\);\-"/>
    <numFmt numFmtId="167" formatCode="\$#,##0"/>
    <numFmt numFmtId="168" formatCode="#,##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i val="true"/>
      <sz val="9"/>
      <color rgb="FF92400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0D7377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05966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1D4ED8"/>
      <name val="Arial"/>
      <family val="0"/>
      <charset val="1"/>
    </font>
    <font>
      <sz val="9"/>
      <color rgb="FF1F3A5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7C3AED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9"/>
      <color rgb="FF0D7377"/>
      <name val="Arial"/>
      <family val="0"/>
      <charset val="1"/>
    </font>
    <font>
      <b val="true"/>
      <sz val="11"/>
      <color rgb="FF0D7377"/>
      <name val="Arial"/>
      <family val="0"/>
      <charset val="1"/>
    </font>
    <font>
      <sz val="8"/>
      <color rgb="FF0D7377"/>
      <name val="Arial"/>
      <family val="0"/>
      <charset val="1"/>
    </font>
    <font>
      <sz val="10"/>
      <color rgb="FF1F3A5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9922A"/>
        <bgColor rgb="FFD97706"/>
      </patternFill>
    </fill>
    <fill>
      <patternFill patternType="solid">
        <fgColor rgb="FFFEF3C7"/>
        <bgColor rgb="FFFEE2E2"/>
      </patternFill>
    </fill>
    <fill>
      <patternFill patternType="solid">
        <fgColor rgb="FF0D7377"/>
        <bgColor rgb="FF059669"/>
      </patternFill>
    </fill>
    <fill>
      <patternFill patternType="solid">
        <fgColor rgb="FFF0F4F8"/>
        <bgColor rgb="FFEDE9FE"/>
      </patternFill>
    </fill>
    <fill>
      <patternFill patternType="solid">
        <fgColor rgb="FFDBEAFE"/>
        <bgColor rgb="FFE2E8F0"/>
      </patternFill>
    </fill>
    <fill>
      <patternFill patternType="solid">
        <fgColor rgb="FFEDE9FE"/>
        <bgColor rgb="FFE2E8F0"/>
      </patternFill>
    </fill>
    <fill>
      <patternFill patternType="solid">
        <fgColor rgb="FFFDE68A"/>
        <bgColor rgb="FFFEF3C7"/>
      </patternFill>
    </fill>
    <fill>
      <patternFill patternType="solid">
        <fgColor rgb="FFE0F4F4"/>
        <bgColor rgb="FFDBEAFE"/>
      </patternFill>
    </fill>
    <fill>
      <patternFill patternType="solid">
        <fgColor rgb="FFD1FAE5"/>
        <bgColor rgb="FFE0F4F4"/>
      </patternFill>
    </fill>
    <fill>
      <patternFill patternType="solid">
        <fgColor rgb="FFFFFFFF"/>
        <bgColor rgb="FFF0F4F8"/>
      </patternFill>
    </fill>
    <fill>
      <patternFill patternType="solid">
        <fgColor rgb="FFE2E8F0"/>
        <bgColor rgb="FFDBEAFE"/>
      </patternFill>
    </fill>
    <fill>
      <patternFill patternType="solid">
        <fgColor rgb="FF059669"/>
        <bgColor rgb="FF339966"/>
      </patternFill>
    </fill>
    <fill>
      <patternFill patternType="solid">
        <fgColor rgb="FF7C3AED"/>
        <bgColor rgb="FF993366"/>
      </patternFill>
    </fill>
    <fill>
      <patternFill patternType="solid">
        <fgColor rgb="FFD97706"/>
        <bgColor rgb="FFC9922A"/>
      </patternFill>
    </fill>
    <fill>
      <patternFill patternType="solid">
        <fgColor rgb="FF64748B"/>
        <bgColor rgb="FF808080"/>
      </patternFill>
    </fill>
    <fill>
      <patternFill patternType="solid">
        <fgColor rgb="FFFEE2E2"/>
        <bgColor rgb="FFEDE9FE"/>
      </patternFill>
    </fill>
    <fill>
      <patternFill patternType="solid">
        <fgColor rgb="FFDC2626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E2E8F0"/>
      <rgbColor rgb="FF808080"/>
      <rgbColor rgb="FF9999FF"/>
      <rgbColor rgb="FF7C3AED"/>
      <rgbColor rgb="FFFEF3C7"/>
      <rgbColor rgb="FFE0F4F4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DBEAFE"/>
      <rgbColor rgb="FFD1FAE5"/>
      <rgbColor rgb="FFFDE68A"/>
      <rgbColor rgb="FFEDE9FE"/>
      <rgbColor rgb="FFF0F4F8"/>
      <rgbColor rgb="FFCC99FF"/>
      <rgbColor rgb="FFFEE2E2"/>
      <rgbColor rgb="FF3366FF"/>
      <rgbColor rgb="FF33CCCC"/>
      <rgbColor rgb="FF99CC00"/>
      <rgbColor rgb="FFFFCC00"/>
      <rgbColor rgb="FFC9922A"/>
      <rgbColor rgb="FFD97706"/>
      <rgbColor rgb="FF64748B"/>
      <rgbColor rgb="FF969696"/>
      <rgbColor rgb="FF1F3A5F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/>
      <c r="C5" s="5"/>
      <c r="D5" s="4" t="s">
        <v>4</v>
      </c>
      <c r="E5" s="5"/>
      <c r="F5" s="5"/>
    </row>
    <row r="6" customFormat="false" ht="15" hidden="false" customHeight="false" outlineLevel="0" collapsed="false">
      <c r="A6" s="4" t="s">
        <v>5</v>
      </c>
      <c r="B6" s="5"/>
      <c r="C6" s="5"/>
      <c r="D6" s="4" t="s">
        <v>6</v>
      </c>
      <c r="E6" s="5"/>
      <c r="F6" s="5"/>
    </row>
    <row r="7" customFormat="false" ht="15" hidden="false" customHeight="false" outlineLevel="0" collapsed="false">
      <c r="A7" s="4" t="s">
        <v>7</v>
      </c>
      <c r="B7" s="5"/>
      <c r="C7" s="5"/>
    </row>
    <row r="8" customFormat="false" ht="9.75" hidden="false" customHeight="true" outlineLevel="0" collapsed="false"/>
    <row r="9" customFormat="false" ht="24" hidden="false" customHeight="true" outlineLevel="0" collapsed="false">
      <c r="A9" s="3" t="s">
        <v>8</v>
      </c>
      <c r="B9" s="3"/>
      <c r="C9" s="3"/>
      <c r="D9" s="3"/>
      <c r="E9" s="3"/>
      <c r="F9" s="3"/>
    </row>
    <row r="10" customFormat="false" ht="36" hidden="false" customHeight="true" outlineLevel="0" collapsed="false">
      <c r="A10" s="6" t="s">
        <v>9</v>
      </c>
      <c r="B10" s="6"/>
      <c r="C10" s="6"/>
      <c r="D10" s="6"/>
      <c r="E10" s="6"/>
      <c r="F10" s="6"/>
    </row>
    <row r="11" customFormat="false" ht="30" hidden="false" customHeight="true" outlineLevel="0" collapsed="false">
      <c r="A11" s="7" t="s">
        <v>10</v>
      </c>
      <c r="B11" s="7" t="s">
        <v>11</v>
      </c>
      <c r="C11" s="7" t="s">
        <v>12</v>
      </c>
      <c r="D11" s="7" t="s">
        <v>13</v>
      </c>
      <c r="E11" s="7" t="s">
        <v>14</v>
      </c>
      <c r="F11" s="7" t="s">
        <v>15</v>
      </c>
    </row>
    <row r="12" customFormat="false" ht="21.75" hidden="false" customHeight="true" outlineLevel="0" collapsed="false">
      <c r="A12" s="8" t="s">
        <v>16</v>
      </c>
      <c r="B12" s="9" t="n">
        <f aca="false">COUNTIF('Moves Management'!D:D,"Identification")</f>
        <v>1</v>
      </c>
      <c r="C12" s="10" t="n">
        <f aca="false">IF(B19=0,"-",B12/B19)</f>
        <v>0.142857142857143</v>
      </c>
      <c r="D12" s="11" t="n">
        <f aca="false">SUMIF('Moves Management'!D:D,"Identification",'Moves Management'!H:H)</f>
        <v>5</v>
      </c>
      <c r="E12" s="11" t="n">
        <f aca="false">IF(B12=0,"-",D12/B12)</f>
        <v>5</v>
      </c>
      <c r="F12" s="12" t="s">
        <v>17</v>
      </c>
    </row>
    <row r="13" customFormat="false" ht="21.75" hidden="false" customHeight="true" outlineLevel="0" collapsed="false">
      <c r="A13" s="13" t="s">
        <v>18</v>
      </c>
      <c r="B13" s="9" t="n">
        <f aca="false">COUNTIF('Moves Management'!D:D,"Research")</f>
        <v>1</v>
      </c>
      <c r="C13" s="10" t="n">
        <f aca="false">IF(B19=0,"-",B13/B19)</f>
        <v>0.142857142857143</v>
      </c>
      <c r="D13" s="11" t="n">
        <f aca="false">SUMIF('Moves Management'!D:D,"Research",'Moves Management'!H:H)</f>
        <v>3</v>
      </c>
      <c r="E13" s="11" t="n">
        <f aca="false">IF(B13=0,"-",D13/B13)</f>
        <v>3</v>
      </c>
      <c r="F13" s="12" t="s">
        <v>19</v>
      </c>
    </row>
    <row r="14" customFormat="false" ht="21.75" hidden="false" customHeight="true" outlineLevel="0" collapsed="false">
      <c r="A14" s="14" t="s">
        <v>20</v>
      </c>
      <c r="B14" s="9" t="n">
        <f aca="false">COUNTIF('Moves Management'!D:D,"Cultivation")</f>
        <v>3</v>
      </c>
      <c r="C14" s="10" t="n">
        <f aca="false">IF(B19=0,"-",B14/B19)</f>
        <v>0.428571428571429</v>
      </c>
      <c r="D14" s="11" t="n">
        <f aca="false">SUMIF('Moves Management'!D:D,"Cultivation",'Moves Management'!H:H)</f>
        <v>22</v>
      </c>
      <c r="E14" s="11" t="n">
        <f aca="false">IF(B14=0,"-",D14/B14)</f>
        <v>7.33333333333333</v>
      </c>
      <c r="F14" s="12" t="s">
        <v>21</v>
      </c>
    </row>
    <row r="15" customFormat="false" ht="21.75" hidden="false" customHeight="true" outlineLevel="0" collapsed="false">
      <c r="A15" s="15" t="s">
        <v>22</v>
      </c>
      <c r="B15" s="9" t="n">
        <f aca="false">COUNTIF('Moves Management'!D:D,"Solicitation Ready")</f>
        <v>1</v>
      </c>
      <c r="C15" s="10" t="n">
        <f aca="false">IF(B19=0,"-",B15/B19)</f>
        <v>0.142857142857143</v>
      </c>
      <c r="D15" s="11" t="n">
        <f aca="false">SUMIF('Moves Management'!D:D,"Solicitation Ready",'Moves Management'!H:H)</f>
        <v>10</v>
      </c>
      <c r="E15" s="11" t="n">
        <f aca="false">IF(B15=0,"-",D15/B15)</f>
        <v>10</v>
      </c>
      <c r="F15" s="12" t="s">
        <v>23</v>
      </c>
    </row>
    <row r="16" customFormat="false" ht="21.75" hidden="false" customHeight="true" outlineLevel="0" collapsed="false">
      <c r="A16" s="16" t="s">
        <v>24</v>
      </c>
      <c r="B16" s="9" t="n">
        <f aca="false">COUNTIF('Moves Management'!D:D,"Proposal Submitted")</f>
        <v>0</v>
      </c>
      <c r="C16" s="10" t="n">
        <f aca="false">IF(B19=0,"-",B16/B19)</f>
        <v>0</v>
      </c>
      <c r="D16" s="11" t="n">
        <f aca="false">SUMIF('Moves Management'!D:D,"Proposal Submitted",'Moves Management'!H:H)</f>
        <v>0</v>
      </c>
      <c r="E16" s="11" t="str">
        <f aca="false">IF(B16=0,"-",D16/B16)</f>
        <v>-</v>
      </c>
      <c r="F16" s="12" t="s">
        <v>25</v>
      </c>
    </row>
    <row r="17" customFormat="false" ht="21.75" hidden="false" customHeight="true" outlineLevel="0" collapsed="false">
      <c r="A17" s="17" t="s">
        <v>26</v>
      </c>
      <c r="B17" s="9" t="n">
        <f aca="false">COUNTIF('Moves Management'!D:D,"Gift Received")</f>
        <v>0</v>
      </c>
      <c r="C17" s="10" t="n">
        <f aca="false">IF(B19=0,"-",B17/B19)</f>
        <v>0</v>
      </c>
      <c r="D17" s="11" t="n">
        <f aca="false">SUMIF('Moves Management'!D:D,"Gift Received",'Moves Management'!H:H)</f>
        <v>0</v>
      </c>
      <c r="E17" s="11" t="str">
        <f aca="false">IF(B17=0,"-",D17/B17)</f>
        <v>-</v>
      </c>
      <c r="F17" s="12" t="s">
        <v>27</v>
      </c>
    </row>
    <row r="18" customFormat="false" ht="21.75" hidden="false" customHeight="true" outlineLevel="0" collapsed="false">
      <c r="A18" s="17" t="s">
        <v>28</v>
      </c>
      <c r="B18" s="9" t="n">
        <f aca="false">COUNTIF('Moves Management'!D:D,"Stewardship")</f>
        <v>1</v>
      </c>
      <c r="C18" s="10" t="n">
        <f aca="false">IF(B19=0,"-",B18/B19)</f>
        <v>0.142857142857143</v>
      </c>
      <c r="D18" s="11" t="n">
        <f aca="false">SUMIF('Moves Management'!D:D,"Stewardship",'Moves Management'!H:H)</f>
        <v>8</v>
      </c>
      <c r="E18" s="11" t="n">
        <f aca="false">IF(B18=0,"-",D18/B18)</f>
        <v>8</v>
      </c>
      <c r="F18" s="12" t="s">
        <v>29</v>
      </c>
    </row>
    <row r="19" customFormat="false" ht="24" hidden="false" customHeight="true" outlineLevel="0" collapsed="false">
      <c r="A19" s="18" t="s">
        <v>30</v>
      </c>
      <c r="B19" s="19" t="n">
        <f aca="false">SUM(B12:B18)</f>
        <v>7</v>
      </c>
      <c r="C19" s="19" t="s">
        <v>31</v>
      </c>
      <c r="D19" s="20" t="n">
        <f aca="false">SUM(D12:D18)</f>
        <v>48</v>
      </c>
      <c r="E19" s="20" t="n">
        <f aca="false">IF(B19=0,"-",D19/B19)</f>
        <v>6.85714285714286</v>
      </c>
      <c r="F19" s="21"/>
    </row>
    <row r="20" customFormat="false" ht="9.75" hidden="false" customHeight="true" outlineLevel="0" collapsed="false"/>
    <row r="21" customFormat="false" ht="24" hidden="false" customHeight="true" outlineLevel="0" collapsed="false">
      <c r="A21" s="3" t="s">
        <v>32</v>
      </c>
      <c r="B21" s="3"/>
      <c r="C21" s="3"/>
      <c r="D21" s="3"/>
      <c r="E21" s="3"/>
      <c r="F21" s="3"/>
    </row>
    <row r="22" customFormat="false" ht="27.75" hidden="false" customHeight="true" outlineLevel="0" collapsed="false">
      <c r="A22" s="7" t="s">
        <v>33</v>
      </c>
      <c r="B22" s="7" t="s">
        <v>34</v>
      </c>
      <c r="C22" s="7" t="s">
        <v>35</v>
      </c>
      <c r="D22" s="7" t="s">
        <v>36</v>
      </c>
      <c r="E22" s="7" t="s">
        <v>37</v>
      </c>
      <c r="F22" s="7"/>
    </row>
    <row r="23" customFormat="false" ht="21.75" hidden="false" customHeight="true" outlineLevel="0" collapsed="false">
      <c r="A23" s="22" t="s">
        <v>38</v>
      </c>
      <c r="B23" s="23"/>
      <c r="C23" s="24"/>
      <c r="D23" s="25"/>
      <c r="E23" s="24" t="s">
        <v>39</v>
      </c>
      <c r="F23" s="25"/>
    </row>
    <row r="24" customFormat="false" ht="21.75" hidden="false" customHeight="true" outlineLevel="0" collapsed="false">
      <c r="A24" s="26" t="s">
        <v>40</v>
      </c>
      <c r="B24" s="27"/>
      <c r="C24" s="28"/>
      <c r="D24" s="29"/>
      <c r="E24" s="28" t="s">
        <v>41</v>
      </c>
      <c r="F24" s="29"/>
    </row>
    <row r="25" customFormat="false" ht="21.75" hidden="false" customHeight="true" outlineLevel="0" collapsed="false">
      <c r="A25" s="22" t="s">
        <v>42</v>
      </c>
      <c r="B25" s="30" t="str">
        <f aca="false">IF(B24=0,"-",B23/B24)</f>
        <v>-</v>
      </c>
      <c r="C25" s="24" t="s">
        <v>31</v>
      </c>
      <c r="D25" s="25"/>
      <c r="E25" s="24" t="s">
        <v>43</v>
      </c>
      <c r="F25" s="25"/>
    </row>
    <row r="26" customFormat="false" ht="21.75" hidden="false" customHeight="true" outlineLevel="0" collapsed="false">
      <c r="A26" s="26" t="s">
        <v>44</v>
      </c>
      <c r="B26" s="31" t="n">
        <f aca="false">COUNTIF('Moves Management'!D:D,"Cultivation")</f>
        <v>3</v>
      </c>
      <c r="C26" s="28" t="s">
        <v>45</v>
      </c>
      <c r="D26" s="29"/>
      <c r="E26" s="28" t="s">
        <v>46</v>
      </c>
      <c r="F26" s="29"/>
    </row>
    <row r="27" customFormat="false" ht="21.75" hidden="false" customHeight="true" outlineLevel="0" collapsed="false">
      <c r="A27" s="22" t="s">
        <v>47</v>
      </c>
      <c r="B27" s="30" t="n">
        <f aca="false">COUNTIF('Moves Management'!D:D,"Solicitation Ready")</f>
        <v>1</v>
      </c>
      <c r="C27" s="24" t="s">
        <v>48</v>
      </c>
      <c r="D27" s="25"/>
      <c r="E27" s="24" t="s">
        <v>49</v>
      </c>
      <c r="F27" s="25"/>
    </row>
    <row r="28" customFormat="false" ht="21.75" hidden="false" customHeight="true" outlineLevel="0" collapsed="false">
      <c r="A28" s="26" t="s">
        <v>50</v>
      </c>
      <c r="B28" s="31" t="n">
        <f aca="false">COUNTIF('Proposal Tracker'!G:G,"Submitted")+COUNTIF('Proposal Tracker'!G:G,"Under Consideration")</f>
        <v>3</v>
      </c>
      <c r="C28" s="28"/>
      <c r="D28" s="29"/>
      <c r="E28" s="28" t="s">
        <v>51</v>
      </c>
      <c r="F28" s="29"/>
    </row>
    <row r="29" customFormat="false" ht="21.75" hidden="false" customHeight="true" outlineLevel="0" collapsed="false">
      <c r="A29" s="22" t="s">
        <v>52</v>
      </c>
      <c r="B29" s="23"/>
      <c r="C29" s="24"/>
      <c r="D29" s="25"/>
      <c r="E29" s="24" t="s">
        <v>53</v>
      </c>
      <c r="F29" s="25"/>
    </row>
    <row r="30" customFormat="false" ht="21.75" hidden="false" customHeight="true" outlineLevel="0" collapsed="false">
      <c r="A30" s="26" t="s">
        <v>54</v>
      </c>
      <c r="B30" s="31" t="n">
        <f aca="false">COUNTIF('Moves Management'!M:M,"OVERDUE")</f>
        <v>0</v>
      </c>
      <c r="C30" s="28" t="s">
        <v>55</v>
      </c>
      <c r="D30" s="29"/>
      <c r="E30" s="28" t="s">
        <v>56</v>
      </c>
      <c r="F30" s="29"/>
    </row>
    <row r="31" customFormat="false" ht="21.75" hidden="false" customHeight="true" outlineLevel="0" collapsed="false">
      <c r="A31" s="22" t="s">
        <v>57</v>
      </c>
      <c r="B31" s="23"/>
      <c r="C31" s="24" t="s">
        <v>58</v>
      </c>
      <c r="D31" s="25"/>
      <c r="E31" s="24" t="s">
        <v>59</v>
      </c>
      <c r="F31" s="25"/>
    </row>
    <row r="32" customFormat="false" ht="21.75" hidden="false" customHeight="true" outlineLevel="0" collapsed="false">
      <c r="A32" s="26" t="s">
        <v>60</v>
      </c>
      <c r="B32" s="27"/>
      <c r="C32" s="28" t="s">
        <v>61</v>
      </c>
      <c r="D32" s="29"/>
      <c r="E32" s="28" t="s">
        <v>62</v>
      </c>
      <c r="F32" s="29"/>
    </row>
    <row r="35" customFormat="false" ht="21.75" hidden="false" customHeight="true" outlineLevel="0" collapsed="false">
      <c r="A35" s="32" t="s">
        <v>63</v>
      </c>
      <c r="B35" s="32"/>
      <c r="C35" s="32"/>
      <c r="D35" s="32"/>
      <c r="E35" s="32"/>
      <c r="F35" s="32"/>
    </row>
  </sheetData>
  <mergeCells count="12">
    <mergeCell ref="A1:F1"/>
    <mergeCell ref="A2:F2"/>
    <mergeCell ref="A4:F4"/>
    <mergeCell ref="B5:C5"/>
    <mergeCell ref="E5:F5"/>
    <mergeCell ref="B6:C6"/>
    <mergeCell ref="E6:F6"/>
    <mergeCell ref="B7:C7"/>
    <mergeCell ref="A9:F9"/>
    <mergeCell ref="A10:F10"/>
    <mergeCell ref="A21:F21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8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11" min="9" style="0" width="22"/>
    <col collapsed="false" customWidth="true" hidden="false" outlineLevel="0" max="12" min="12" style="0" width="26"/>
  </cols>
  <sheetData>
    <row r="1" customFormat="false" ht="36" hidden="false" customHeight="true" outlineLevel="0" collapsed="false">
      <c r="A1" s="33" t="s">
        <v>64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customFormat="false" ht="21.75" hidden="false" customHeight="true" outlineLevel="0" collapsed="false">
      <c r="A2" s="34" t="s">
        <v>65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customFormat="false" ht="36" hidden="false" customHeight="true" outlineLevel="0" collapsed="false">
      <c r="A3" s="6" t="s">
        <v>66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9.5" hidden="false" customHeight="true" outlineLevel="0" collapsed="false">
      <c r="A4" s="35" t="s">
        <v>67</v>
      </c>
      <c r="B4" s="35"/>
      <c r="C4" s="36" t="s">
        <v>68</v>
      </c>
      <c r="D4" s="36"/>
      <c r="E4" s="36"/>
      <c r="F4" s="36"/>
      <c r="G4" s="37" t="s">
        <v>69</v>
      </c>
      <c r="H4" s="37"/>
      <c r="I4" s="38" t="s">
        <v>70</v>
      </c>
      <c r="J4" s="38"/>
      <c r="K4" s="39" t="s">
        <v>71</v>
      </c>
      <c r="L4" s="39"/>
    </row>
    <row r="5" customFormat="false" ht="43.5" hidden="false" customHeight="true" outlineLevel="0" collapsed="false">
      <c r="A5" s="40" t="s">
        <v>72</v>
      </c>
      <c r="B5" s="40" t="s">
        <v>73</v>
      </c>
      <c r="C5" s="40" t="s">
        <v>74</v>
      </c>
      <c r="D5" s="40" t="s">
        <v>75</v>
      </c>
      <c r="E5" s="40" t="s">
        <v>76</v>
      </c>
      <c r="F5" s="40" t="s">
        <v>77</v>
      </c>
      <c r="G5" s="40" t="s">
        <v>78</v>
      </c>
      <c r="H5" s="40" t="s">
        <v>79</v>
      </c>
      <c r="I5" s="40" t="s">
        <v>80</v>
      </c>
      <c r="J5" s="40" t="s">
        <v>81</v>
      </c>
      <c r="K5" s="40" t="s">
        <v>82</v>
      </c>
      <c r="L5" s="40" t="s">
        <v>83</v>
      </c>
    </row>
    <row r="6" customFormat="false" ht="48" hidden="false" customHeight="true" outlineLevel="0" collapsed="false">
      <c r="A6" s="41" t="n">
        <v>1</v>
      </c>
      <c r="B6" s="42" t="s">
        <v>84</v>
      </c>
      <c r="C6" s="43" t="s">
        <v>85</v>
      </c>
      <c r="D6" s="44" t="s">
        <v>86</v>
      </c>
      <c r="E6" s="44" t="s">
        <v>86</v>
      </c>
      <c r="F6" s="44" t="s">
        <v>86</v>
      </c>
      <c r="G6" s="42" t="s">
        <v>87</v>
      </c>
      <c r="H6" s="45" t="n">
        <v>250000</v>
      </c>
      <c r="I6" s="42" t="s">
        <v>88</v>
      </c>
      <c r="J6" s="42" t="s">
        <v>89</v>
      </c>
      <c r="K6" s="42" t="s">
        <v>90</v>
      </c>
      <c r="L6" s="42" t="s">
        <v>91</v>
      </c>
    </row>
    <row r="7" customFormat="false" ht="48" hidden="false" customHeight="true" outlineLevel="0" collapsed="false">
      <c r="A7" s="46" t="n">
        <v>2</v>
      </c>
      <c r="B7" s="47" t="s">
        <v>92</v>
      </c>
      <c r="C7" s="43" t="s">
        <v>85</v>
      </c>
      <c r="D7" s="44" t="s">
        <v>86</v>
      </c>
      <c r="E7" s="48" t="s">
        <v>93</v>
      </c>
      <c r="F7" s="44" t="s">
        <v>86</v>
      </c>
      <c r="G7" s="47" t="s">
        <v>94</v>
      </c>
      <c r="H7" s="49" t="n">
        <v>100000</v>
      </c>
      <c r="I7" s="47" t="s">
        <v>95</v>
      </c>
      <c r="J7" s="47" t="s">
        <v>96</v>
      </c>
      <c r="K7" s="47" t="s">
        <v>97</v>
      </c>
      <c r="L7" s="47" t="s">
        <v>98</v>
      </c>
    </row>
    <row r="8" customFormat="false" ht="48" hidden="false" customHeight="true" outlineLevel="0" collapsed="false">
      <c r="A8" s="41" t="n">
        <v>3</v>
      </c>
      <c r="B8" s="42" t="s">
        <v>99</v>
      </c>
      <c r="C8" s="50" t="s">
        <v>100</v>
      </c>
      <c r="D8" s="44" t="s">
        <v>86</v>
      </c>
      <c r="E8" s="51" t="s">
        <v>101</v>
      </c>
      <c r="F8" s="48" t="s">
        <v>93</v>
      </c>
      <c r="G8" s="42" t="s">
        <v>102</v>
      </c>
      <c r="H8" s="45" t="n">
        <v>50000</v>
      </c>
      <c r="I8" s="42" t="s">
        <v>103</v>
      </c>
      <c r="J8" s="42" t="s">
        <v>104</v>
      </c>
      <c r="K8" s="42" t="s">
        <v>105</v>
      </c>
      <c r="L8" s="42" t="s">
        <v>106</v>
      </c>
    </row>
    <row r="9" customFormat="false" ht="48" hidden="false" customHeight="true" outlineLevel="0" collapsed="false">
      <c r="A9" s="46" t="n">
        <v>4</v>
      </c>
      <c r="B9" s="47" t="s">
        <v>107</v>
      </c>
      <c r="C9" s="50" t="s">
        <v>100</v>
      </c>
      <c r="D9" s="48" t="s">
        <v>93</v>
      </c>
      <c r="E9" s="44" t="s">
        <v>86</v>
      </c>
      <c r="F9" s="44" t="s">
        <v>86</v>
      </c>
      <c r="G9" s="47" t="s">
        <v>108</v>
      </c>
      <c r="H9" s="49" t="n">
        <v>25000</v>
      </c>
      <c r="I9" s="47" t="s">
        <v>109</v>
      </c>
      <c r="J9" s="47" t="s">
        <v>110</v>
      </c>
      <c r="K9" s="47" t="s">
        <v>111</v>
      </c>
      <c r="L9" s="47" t="s">
        <v>112</v>
      </c>
    </row>
    <row r="10" customFormat="false" ht="48" hidden="false" customHeight="true" outlineLevel="0" collapsed="false">
      <c r="A10" s="41" t="n">
        <v>5</v>
      </c>
      <c r="B10" s="42" t="s">
        <v>113</v>
      </c>
      <c r="C10" s="52" t="s">
        <v>114</v>
      </c>
      <c r="D10" s="44" t="s">
        <v>86</v>
      </c>
      <c r="E10" s="51" t="s">
        <v>101</v>
      </c>
      <c r="F10" s="51" t="s">
        <v>101</v>
      </c>
      <c r="G10" s="42" t="s">
        <v>115</v>
      </c>
      <c r="H10" s="45" t="n">
        <v>500000</v>
      </c>
      <c r="I10" s="42" t="s">
        <v>116</v>
      </c>
      <c r="J10" s="42" t="s">
        <v>117</v>
      </c>
      <c r="K10" s="42" t="s">
        <v>118</v>
      </c>
      <c r="L10" s="42" t="s">
        <v>119</v>
      </c>
    </row>
    <row r="11" customFormat="false" ht="36" hidden="false" customHeight="true" outlineLevel="0" collapsed="false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customFormat="false" ht="36" hidden="false" customHeight="true" outlineLevel="0" collapsed="false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</row>
    <row r="13" customFormat="false" ht="36" hidden="false" customHeight="true" outlineLevel="0" collapsed="false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customFormat="false" ht="36" hidden="false" customHeight="true" outlineLevel="0" collapsed="false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customFormat="false" ht="36" hidden="false" customHeight="true" outlineLevel="0" collapsed="false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</row>
    <row r="16" customFormat="false" ht="36" hidden="false" customHeight="true" outlineLevel="0" collapsed="false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</row>
    <row r="17" customFormat="false" ht="36" hidden="false" customHeight="true" outlineLevel="0" collapsed="false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</row>
    <row r="18" customFormat="false" ht="36" hidden="false" customHeight="true" outlineLevel="0" collapsed="false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</row>
    <row r="19" customFormat="false" ht="36" hidden="false" customHeight="true" outlineLevel="0" collapsed="false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</row>
    <row r="20" customFormat="false" ht="36" hidden="false" customHeight="true" outlineLevel="0" collapsed="false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</row>
    <row r="21" customFormat="false" ht="36" hidden="false" customHeight="true" outlineLevel="0" collapsed="false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customFormat="false" ht="36" hidden="false" customHeight="true" outlineLevel="0" collapsed="false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customFormat="false" ht="36" hidden="false" customHeight="true" outlineLevel="0" collapsed="false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</row>
    <row r="24" customFormat="false" ht="36" hidden="false" customHeight="true" outlineLevel="0" collapsed="false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customFormat="false" ht="36" hidden="false" customHeight="true" outlineLevel="0" collapsed="false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</row>
    <row r="26" customFormat="false" ht="36" hidden="false" customHeight="true" outlineLevel="0" collapsed="false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</row>
    <row r="27" customFormat="false" ht="36" hidden="false" customHeight="true" outlineLevel="0" collapsed="false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customFormat="false" ht="36" hidden="false" customHeight="true" outlineLevel="0" collapsed="false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</row>
    <row r="29" customFormat="false" ht="36" hidden="false" customHeight="true" outlineLevel="0" collapsed="false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</row>
    <row r="30" customFormat="false" ht="36" hidden="false" customHeight="true" outlineLevel="0" collapsed="false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</row>
    <row r="31" customFormat="false" ht="36" hidden="false" customHeight="true" outlineLevel="0" collapsed="false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</row>
    <row r="32" customFormat="false" ht="36" hidden="false" customHeight="true" outlineLevel="0" collapsed="false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</row>
    <row r="33" customFormat="false" ht="36" hidden="false" customHeight="true" outlineLevel="0" collapsed="false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</row>
    <row r="34" customFormat="false" ht="36" hidden="false" customHeight="true" outlineLevel="0" collapsed="false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 customFormat="false" ht="36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</row>
    <row r="36" customFormat="false" ht="36" hidden="false" customHeight="true" outlineLevel="0" collapsed="false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</row>
    <row r="37" customFormat="false" ht="36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customFormat="false" ht="36" hidden="false" customHeight="true" outlineLevel="0" collapsed="false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</row>
    <row r="39" customFormat="false" ht="36" hidden="false" customHeight="true" outlineLevel="0" collapsed="false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customFormat="false" ht="36" hidden="false" customHeight="true" outlineLevel="0" collapsed="false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</row>
    <row r="41" customFormat="false" ht="36" hidden="false" customHeight="true" outlineLevel="0" collapsed="false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 customFormat="false" ht="36" hidden="false" customHeight="true" outlineLevel="0" collapsed="false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</row>
    <row r="43" customFormat="false" ht="36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</row>
    <row r="44" customFormat="false" ht="36" hidden="false" customHeight="true" outlineLevel="0" collapsed="false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</row>
    <row r="45" customFormat="false" ht="36" hidden="false" customHeight="true" outlineLevel="0" collapsed="false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customFormat="false" ht="36" hidden="false" customHeight="true" outlineLevel="0" collapsed="false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</row>
    <row r="47" customFormat="false" ht="36" hidden="false" customHeight="true" outlineLevel="0" collapsed="false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</row>
    <row r="48" customFormat="false" ht="36" hidden="false" customHeight="true" outlineLevel="0" collapsed="false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</row>
    <row r="49" customFormat="false" ht="36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</row>
    <row r="50" customFormat="false" ht="36" hidden="false" customHeight="true" outlineLevel="0" collapsed="false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</row>
    <row r="52" customFormat="false" ht="24" hidden="false" customHeight="true" outlineLevel="0" collapsed="false">
      <c r="A52" s="55" t="s">
        <v>120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</row>
    <row r="53" customFormat="false" ht="33.75" hidden="false" customHeight="true" outlineLevel="0" collapsed="false">
      <c r="A53" s="43" t="s">
        <v>121</v>
      </c>
      <c r="B53" s="56" t="s">
        <v>122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</row>
    <row r="54" customFormat="false" ht="33.75" hidden="false" customHeight="true" outlineLevel="0" collapsed="false">
      <c r="A54" s="50" t="s">
        <v>123</v>
      </c>
      <c r="B54" s="57" t="s">
        <v>124</v>
      </c>
      <c r="C54" s="57"/>
      <c r="D54" s="57"/>
      <c r="E54" s="57"/>
      <c r="F54" s="57"/>
      <c r="G54" s="57"/>
      <c r="H54" s="57"/>
      <c r="I54" s="57"/>
      <c r="J54" s="57"/>
      <c r="K54" s="57"/>
      <c r="L54" s="57"/>
    </row>
    <row r="55" customFormat="false" ht="33.75" hidden="false" customHeight="true" outlineLevel="0" collapsed="false">
      <c r="A55" s="52" t="s">
        <v>125</v>
      </c>
      <c r="B55" s="58" t="s">
        <v>126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</row>
  </sheetData>
  <mergeCells count="12">
    <mergeCell ref="A1:L1"/>
    <mergeCell ref="A2:L2"/>
    <mergeCell ref="A3:L3"/>
    <mergeCell ref="A4:B4"/>
    <mergeCell ref="C4:F4"/>
    <mergeCell ref="G4:H4"/>
    <mergeCell ref="I4:J4"/>
    <mergeCell ref="K4:L4"/>
    <mergeCell ref="A52:L52"/>
    <mergeCell ref="B53:L53"/>
    <mergeCell ref="B54:L54"/>
    <mergeCell ref="B55:L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36" hidden="false" customHeight="true" outlineLevel="0" collapsed="false">
      <c r="A1" s="59" t="s">
        <v>127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customFormat="false" ht="21.75" hidden="false" customHeight="true" outlineLevel="0" collapsed="false">
      <c r="A2" s="60" t="s">
        <v>128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customFormat="false" ht="36" hidden="false" customHeight="true" outlineLevel="0" collapsed="false">
      <c r="A3" s="6" t="s">
        <v>129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48" hidden="false" customHeight="true" outlineLevel="0" collapsed="false">
      <c r="A4" s="61" t="s">
        <v>72</v>
      </c>
      <c r="B4" s="61" t="s">
        <v>73</v>
      </c>
      <c r="C4" s="61" t="s">
        <v>130</v>
      </c>
      <c r="D4" s="61" t="s">
        <v>10</v>
      </c>
      <c r="E4" s="61" t="s">
        <v>75</v>
      </c>
      <c r="F4" s="61" t="s">
        <v>131</v>
      </c>
      <c r="G4" s="61" t="s">
        <v>132</v>
      </c>
      <c r="H4" s="61" t="s">
        <v>133</v>
      </c>
      <c r="I4" s="61" t="s">
        <v>134</v>
      </c>
      <c r="J4" s="61" t="s">
        <v>135</v>
      </c>
      <c r="K4" s="61" t="s">
        <v>136</v>
      </c>
      <c r="L4" s="61" t="s">
        <v>137</v>
      </c>
      <c r="M4" s="61" t="s">
        <v>138</v>
      </c>
    </row>
    <row r="5" customFormat="false" ht="51.75" hidden="false" customHeight="true" outlineLevel="0" collapsed="false">
      <c r="A5" s="41" t="n">
        <v>1</v>
      </c>
      <c r="B5" s="42" t="s">
        <v>84</v>
      </c>
      <c r="C5" s="43" t="s">
        <v>85</v>
      </c>
      <c r="D5" s="62" t="s">
        <v>20</v>
      </c>
      <c r="E5" s="44" t="s">
        <v>86</v>
      </c>
      <c r="F5" s="45" t="n">
        <v>250000</v>
      </c>
      <c r="G5" s="42" t="s">
        <v>139</v>
      </c>
      <c r="H5" s="63" t="n">
        <v>9</v>
      </c>
      <c r="I5" s="42" t="s">
        <v>140</v>
      </c>
      <c r="J5" s="42" t="s">
        <v>141</v>
      </c>
      <c r="K5" s="64" t="s">
        <v>142</v>
      </c>
      <c r="L5" s="42" t="s">
        <v>143</v>
      </c>
      <c r="M5" s="65" t="s">
        <v>144</v>
      </c>
    </row>
    <row r="6" customFormat="false" ht="51.75" hidden="false" customHeight="true" outlineLevel="0" collapsed="false">
      <c r="A6" s="46" t="n">
        <v>2</v>
      </c>
      <c r="B6" s="47" t="s">
        <v>92</v>
      </c>
      <c r="C6" s="43" t="s">
        <v>85</v>
      </c>
      <c r="D6" s="50" t="s">
        <v>22</v>
      </c>
      <c r="E6" s="44" t="s">
        <v>86</v>
      </c>
      <c r="F6" s="49" t="n">
        <v>100000</v>
      </c>
      <c r="G6" s="47" t="s">
        <v>145</v>
      </c>
      <c r="H6" s="66" t="n">
        <v>10</v>
      </c>
      <c r="I6" s="47" t="s">
        <v>146</v>
      </c>
      <c r="J6" s="47" t="s">
        <v>147</v>
      </c>
      <c r="K6" s="67" t="s">
        <v>148</v>
      </c>
      <c r="L6" s="47" t="s">
        <v>149</v>
      </c>
      <c r="M6" s="65" t="s">
        <v>144</v>
      </c>
    </row>
    <row r="7" customFormat="false" ht="51.75" hidden="false" customHeight="true" outlineLevel="0" collapsed="false">
      <c r="A7" s="41" t="n">
        <v>3</v>
      </c>
      <c r="B7" s="42" t="s">
        <v>99</v>
      </c>
      <c r="C7" s="50" t="s">
        <v>100</v>
      </c>
      <c r="D7" s="62" t="s">
        <v>20</v>
      </c>
      <c r="E7" s="44" t="s">
        <v>86</v>
      </c>
      <c r="F7" s="45" t="n">
        <v>50000</v>
      </c>
      <c r="G7" s="42" t="s">
        <v>150</v>
      </c>
      <c r="H7" s="63" t="n">
        <v>6</v>
      </c>
      <c r="I7" s="42" t="s">
        <v>151</v>
      </c>
      <c r="J7" s="42" t="s">
        <v>152</v>
      </c>
      <c r="K7" s="64" t="s">
        <v>153</v>
      </c>
      <c r="L7" s="42" t="s">
        <v>154</v>
      </c>
      <c r="M7" s="65" t="s">
        <v>144</v>
      </c>
    </row>
    <row r="8" customFormat="false" ht="51.75" hidden="false" customHeight="true" outlineLevel="0" collapsed="false">
      <c r="A8" s="46" t="n">
        <v>4</v>
      </c>
      <c r="B8" s="47" t="s">
        <v>107</v>
      </c>
      <c r="C8" s="50" t="s">
        <v>100</v>
      </c>
      <c r="D8" s="62" t="s">
        <v>20</v>
      </c>
      <c r="E8" s="48" t="s">
        <v>93</v>
      </c>
      <c r="F8" s="49" t="n">
        <v>25000</v>
      </c>
      <c r="G8" s="47" t="s">
        <v>155</v>
      </c>
      <c r="H8" s="66" t="n">
        <v>7</v>
      </c>
      <c r="I8" s="47" t="s">
        <v>156</v>
      </c>
      <c r="J8" s="47" t="s">
        <v>157</v>
      </c>
      <c r="K8" s="67" t="s">
        <v>158</v>
      </c>
      <c r="L8" s="47" t="s">
        <v>143</v>
      </c>
      <c r="M8" s="65" t="s">
        <v>144</v>
      </c>
    </row>
    <row r="9" customFormat="false" ht="51.75" hidden="false" customHeight="true" outlineLevel="0" collapsed="false">
      <c r="A9" s="41" t="n">
        <v>5</v>
      </c>
      <c r="B9" s="42" t="s">
        <v>113</v>
      </c>
      <c r="C9" s="52" t="s">
        <v>114</v>
      </c>
      <c r="D9" s="52" t="s">
        <v>18</v>
      </c>
      <c r="E9" s="44" t="s">
        <v>86</v>
      </c>
      <c r="F9" s="45" t="n">
        <v>500000</v>
      </c>
      <c r="G9" s="42" t="s">
        <v>159</v>
      </c>
      <c r="H9" s="63" t="n">
        <v>3</v>
      </c>
      <c r="I9" s="42" t="s">
        <v>160</v>
      </c>
      <c r="J9" s="42" t="s">
        <v>161</v>
      </c>
      <c r="K9" s="64" t="s">
        <v>162</v>
      </c>
      <c r="L9" s="42" t="s">
        <v>149</v>
      </c>
      <c r="M9" s="65" t="s">
        <v>144</v>
      </c>
    </row>
    <row r="10" customFormat="false" ht="51.75" hidden="false" customHeight="true" outlineLevel="0" collapsed="false">
      <c r="A10" s="46" t="n">
        <v>6</v>
      </c>
      <c r="B10" s="47" t="s">
        <v>163</v>
      </c>
      <c r="C10" s="43" t="s">
        <v>85</v>
      </c>
      <c r="D10" s="65" t="s">
        <v>28</v>
      </c>
      <c r="E10" s="44" t="s">
        <v>86</v>
      </c>
      <c r="F10" s="49" t="n">
        <v>75000</v>
      </c>
      <c r="G10" s="47" t="s">
        <v>164</v>
      </c>
      <c r="H10" s="66" t="n">
        <v>8</v>
      </c>
      <c r="I10" s="47" t="s">
        <v>165</v>
      </c>
      <c r="J10" s="47" t="s">
        <v>166</v>
      </c>
      <c r="K10" s="67" t="s">
        <v>167</v>
      </c>
      <c r="L10" s="47" t="s">
        <v>149</v>
      </c>
      <c r="M10" s="68" t="s">
        <v>168</v>
      </c>
    </row>
    <row r="11" customFormat="false" ht="51.75" hidden="false" customHeight="true" outlineLevel="0" collapsed="false">
      <c r="A11" s="41" t="n">
        <v>7</v>
      </c>
      <c r="B11" s="42" t="s">
        <v>169</v>
      </c>
      <c r="C11" s="50" t="s">
        <v>100</v>
      </c>
      <c r="D11" s="69" t="s">
        <v>16</v>
      </c>
      <c r="E11" s="48" t="s">
        <v>93</v>
      </c>
      <c r="F11" s="45" t="n">
        <v>15000</v>
      </c>
      <c r="G11" s="42" t="s">
        <v>170</v>
      </c>
      <c r="H11" s="63" t="n">
        <v>5</v>
      </c>
      <c r="I11" s="42" t="s">
        <v>171</v>
      </c>
      <c r="J11" s="42" t="s">
        <v>172</v>
      </c>
      <c r="K11" s="64" t="s">
        <v>173</v>
      </c>
      <c r="L11" s="42" t="s">
        <v>149</v>
      </c>
      <c r="M11" s="65" t="s">
        <v>144</v>
      </c>
    </row>
    <row r="12" customFormat="false" ht="36" hidden="false" customHeight="true" outlineLevel="0" collapsed="false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70" t="str">
        <f aca="true">IF(K12="","",IF(K12&lt;TODAY()-90,"⚠ OVERDUE",IF(K12&lt;TODAY(),"📋 PAST DUE",IF(K12&lt;=TODAY()+14,"🔔 DUE SOON","✅ ON TRACK"))))</f>
        <v/>
      </c>
    </row>
    <row r="13" customFormat="false" ht="36" hidden="false" customHeight="true" outlineLevel="0" collapsed="false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2" t="str">
        <f aca="true">IF(K13="","",IF(K13&lt;TODAY()-90,"⚠ OVERDUE",IF(K13&lt;TODAY(),"📋 PAST DUE",IF(K13&lt;=TODAY()+14,"🔔 DUE SOON","✅ ON TRACK"))))</f>
        <v/>
      </c>
    </row>
    <row r="14" customFormat="false" ht="36" hidden="false" customHeight="true" outlineLevel="0" collapsed="false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70" t="str">
        <f aca="true">IF(K14="","",IF(K14&lt;TODAY()-90,"⚠ OVERDUE",IF(K14&lt;TODAY(),"📋 PAST DUE",IF(K14&lt;=TODAY()+14,"🔔 DUE SOON","✅ ON TRACK"))))</f>
        <v/>
      </c>
    </row>
    <row r="15" customFormat="false" ht="36" hidden="false" customHeight="true" outlineLevel="0" collapsed="false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2" t="str">
        <f aca="true">IF(K15="","",IF(K15&lt;TODAY()-90,"⚠ OVERDUE",IF(K15&lt;TODAY(),"📋 PAST DUE",IF(K15&lt;=TODAY()+14,"🔔 DUE SOON","✅ ON TRACK"))))</f>
        <v/>
      </c>
    </row>
    <row r="16" customFormat="false" ht="36" hidden="false" customHeight="true" outlineLevel="0" collapsed="false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70" t="str">
        <f aca="true">IF(K16="","",IF(K16&lt;TODAY()-90,"⚠ OVERDUE",IF(K16&lt;TODAY(),"📋 PAST DUE",IF(K16&lt;=TODAY()+14,"🔔 DUE SOON","✅ ON TRACK"))))</f>
        <v/>
      </c>
    </row>
    <row r="17" customFormat="false" ht="36" hidden="false" customHeight="true" outlineLevel="0" collapsed="false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2" t="str">
        <f aca="true">IF(K17="","",IF(K17&lt;TODAY()-90,"⚠ OVERDUE",IF(K17&lt;TODAY(),"📋 PAST DUE",IF(K17&lt;=TODAY()+14,"🔔 DUE SOON","✅ ON TRACK"))))</f>
        <v/>
      </c>
    </row>
    <row r="18" customFormat="false" ht="36" hidden="false" customHeight="true" outlineLevel="0" collapsed="false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70" t="str">
        <f aca="true">IF(K18="","",IF(K18&lt;TODAY()-90,"⚠ OVERDUE",IF(K18&lt;TODAY(),"📋 PAST DUE",IF(K18&lt;=TODAY()+14,"🔔 DUE SOON","✅ ON TRACK"))))</f>
        <v/>
      </c>
    </row>
    <row r="19" customFormat="false" ht="36" hidden="false" customHeight="true" outlineLevel="0" collapsed="false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2" t="str">
        <f aca="true">IF(K19="","",IF(K19&lt;TODAY()-90,"⚠ OVERDUE",IF(K19&lt;TODAY(),"📋 PAST DUE",IF(K19&lt;=TODAY()+14,"🔔 DUE SOON","✅ ON TRACK"))))</f>
        <v/>
      </c>
    </row>
    <row r="20" customFormat="false" ht="36" hidden="false" customHeight="true" outlineLevel="0" collapsed="false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70" t="str">
        <f aca="true">IF(K20="","",IF(K20&lt;TODAY()-90,"⚠ OVERDUE",IF(K20&lt;TODAY(),"📋 PAST DUE",IF(K20&lt;=TODAY()+14,"🔔 DUE SOON","✅ ON TRACK"))))</f>
        <v/>
      </c>
    </row>
    <row r="21" customFormat="false" ht="36" hidden="false" customHeight="true" outlineLevel="0" collapsed="false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2" t="str">
        <f aca="true">IF(K21="","",IF(K21&lt;TODAY()-90,"⚠ OVERDUE",IF(K21&lt;TODAY(),"📋 PAST DUE",IF(K21&lt;=TODAY()+14,"🔔 DUE SOON","✅ ON TRACK"))))</f>
        <v/>
      </c>
    </row>
    <row r="22" customFormat="false" ht="36" hidden="false" customHeight="true" outlineLevel="0" collapsed="false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70" t="str">
        <f aca="true">IF(K22="","",IF(K22&lt;TODAY()-90,"⚠ OVERDUE",IF(K22&lt;TODAY(),"📋 PAST DUE",IF(K22&lt;=TODAY()+14,"🔔 DUE SOON","✅ ON TRACK"))))</f>
        <v/>
      </c>
    </row>
    <row r="23" customFormat="false" ht="36" hidden="false" customHeight="true" outlineLevel="0" collapsed="false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2" t="str">
        <f aca="true">IF(K23="","",IF(K23&lt;TODAY()-90,"⚠ OVERDUE",IF(K23&lt;TODAY(),"📋 PAST DUE",IF(K23&lt;=TODAY()+14,"🔔 DUE SOON","✅ ON TRACK"))))</f>
        <v/>
      </c>
    </row>
    <row r="24" customFormat="false" ht="36" hidden="false" customHeight="true" outlineLevel="0" collapsed="false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70" t="str">
        <f aca="true">IF(K24="","",IF(K24&lt;TODAY()-90,"⚠ OVERDUE",IF(K24&lt;TODAY(),"📋 PAST DUE",IF(K24&lt;=TODAY()+14,"🔔 DUE SOON","✅ ON TRACK"))))</f>
        <v/>
      </c>
    </row>
    <row r="25" customFormat="false" ht="36" hidden="false" customHeight="true" outlineLevel="0" collapsed="false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2" t="str">
        <f aca="true">IF(K25="","",IF(K25&lt;TODAY()-90,"⚠ OVERDUE",IF(K25&lt;TODAY(),"📋 PAST DUE",IF(K25&lt;=TODAY()+14,"🔔 DUE SOON","✅ ON TRACK"))))</f>
        <v/>
      </c>
    </row>
    <row r="26" customFormat="false" ht="36" hidden="false" customHeight="true" outlineLevel="0" collapsed="false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70" t="str">
        <f aca="true">IF(K26="","",IF(K26&lt;TODAY()-90,"⚠ OVERDUE",IF(K26&lt;TODAY(),"📋 PAST DUE",IF(K26&lt;=TODAY()+14,"🔔 DUE SOON","✅ ON TRACK"))))</f>
        <v/>
      </c>
    </row>
    <row r="27" customFormat="false" ht="36" hidden="false" customHeight="true" outlineLevel="0" collapsed="false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2" t="str">
        <f aca="true">IF(K27="","",IF(K27&lt;TODAY()-90,"⚠ OVERDUE",IF(K27&lt;TODAY(),"📋 PAST DUE",IF(K27&lt;=TODAY()+14,"🔔 DUE SOON","✅ ON TRACK"))))</f>
        <v/>
      </c>
    </row>
    <row r="28" customFormat="false" ht="36" hidden="false" customHeight="true" outlineLevel="0" collapsed="false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70" t="str">
        <f aca="true">IF(K28="","",IF(K28&lt;TODAY()-90,"⚠ OVERDUE",IF(K28&lt;TODAY(),"📋 PAST DUE",IF(K28&lt;=TODAY()+14,"🔔 DUE SOON","✅ ON TRACK"))))</f>
        <v/>
      </c>
    </row>
    <row r="29" customFormat="false" ht="36" hidden="false" customHeight="true" outlineLevel="0" collapsed="false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2" t="str">
        <f aca="true">IF(K29="","",IF(K29&lt;TODAY()-90,"⚠ OVERDUE",IF(K29&lt;TODAY(),"📋 PAST DUE",IF(K29&lt;=TODAY()+14,"🔔 DUE SOON","✅ ON TRACK"))))</f>
        <v/>
      </c>
    </row>
    <row r="30" customFormat="false" ht="36" hidden="false" customHeight="true" outlineLevel="0" collapsed="false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70" t="str">
        <f aca="true">IF(K30="","",IF(K30&lt;TODAY()-90,"⚠ OVERDUE",IF(K30&lt;TODAY(),"📋 PAST DUE",IF(K30&lt;=TODAY()+14,"🔔 DUE SOON","✅ ON TRACK"))))</f>
        <v/>
      </c>
    </row>
    <row r="31" customFormat="false" ht="36" hidden="false" customHeight="true" outlineLevel="0" collapsed="false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2" t="str">
        <f aca="true">IF(K31="","",IF(K31&lt;TODAY()-90,"⚠ OVERDUE",IF(K31&lt;TODAY(),"📋 PAST DUE",IF(K31&lt;=TODAY()+14,"🔔 DUE SOON","✅ ON TRACK"))))</f>
        <v/>
      </c>
    </row>
    <row r="32" customFormat="false" ht="36" hidden="false" customHeight="true" outlineLevel="0" collapsed="false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70" t="str">
        <f aca="true">IF(K32="","",IF(K32&lt;TODAY()-90,"⚠ OVERDUE",IF(K32&lt;TODAY(),"📋 PAST DUE",IF(K32&lt;=TODAY()+14,"🔔 DUE SOON","✅ ON TRACK"))))</f>
        <v/>
      </c>
    </row>
    <row r="33" customFormat="false" ht="36" hidden="false" customHeight="true" outlineLevel="0" collapsed="false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2" t="str">
        <f aca="true">IF(K33="","",IF(K33&lt;TODAY()-90,"⚠ OVERDUE",IF(K33&lt;TODAY(),"📋 PAST DUE",IF(K33&lt;=TODAY()+14,"🔔 DUE SOON","✅ ON TRACK"))))</f>
        <v/>
      </c>
    </row>
    <row r="34" customFormat="false" ht="36" hidden="false" customHeight="tru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70" t="str">
        <f aca="true">IF(K34="","",IF(K34&lt;TODAY()-90,"⚠ OVERDUE",IF(K34&lt;TODAY(),"📋 PAST DUE",IF(K34&lt;=TODAY()+14,"🔔 DUE SOON","✅ ON TRACK"))))</f>
        <v/>
      </c>
    </row>
    <row r="35" customFormat="false" ht="36" hidden="false" customHeight="tru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2" t="str">
        <f aca="true">IF(K35="","",IF(K35&lt;TODAY()-90,"⚠ OVERDUE",IF(K35&lt;TODAY(),"📋 PAST DUE",IF(K35&lt;=TODAY()+14,"🔔 DUE SOON","✅ ON TRACK"))))</f>
        <v/>
      </c>
    </row>
    <row r="36" customFormat="false" ht="36" hidden="false" customHeight="true" outlineLevel="0" collapsed="false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70" t="str">
        <f aca="true">IF(K36="","",IF(K36&lt;TODAY()-90,"⚠ OVERDUE",IF(K36&lt;TODAY(),"📋 PAST DUE",IF(K36&lt;=TODAY()+14,"🔔 DUE SOON","✅ ON TRACK"))))</f>
        <v/>
      </c>
    </row>
    <row r="37" customFormat="false" ht="36" hidden="false" customHeight="tru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2" t="str">
        <f aca="true">IF(K37="","",IF(K37&lt;TODAY()-90,"⚠ OVERDUE",IF(K37&lt;TODAY(),"📋 PAST DUE",IF(K37&lt;=TODAY()+14,"🔔 DUE SOON","✅ ON TRACK"))))</f>
        <v/>
      </c>
    </row>
    <row r="38" customFormat="false" ht="36" hidden="false" customHeight="true" outlineLevel="0" collapsed="false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70" t="str">
        <f aca="true">IF(K38="","",IF(K38&lt;TODAY()-90,"⚠ OVERDUE",IF(K38&lt;TODAY(),"📋 PAST DUE",IF(K38&lt;=TODAY()+14,"🔔 DUE SOON","✅ ON TRACK"))))</f>
        <v/>
      </c>
    </row>
    <row r="39" customFormat="false" ht="36" hidden="false" customHeight="tru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2" t="str">
        <f aca="true">IF(K39="","",IF(K39&lt;TODAY()-90,"⚠ OVERDUE",IF(K39&lt;TODAY(),"📋 PAST DUE",IF(K39&lt;=TODAY()+14,"🔔 DUE SOON","✅ ON TRACK"))))</f>
        <v/>
      </c>
    </row>
    <row r="40" customFormat="false" ht="36" hidden="false" customHeight="true" outlineLevel="0" collapsed="false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70" t="str">
        <f aca="true">IF(K40="","",IF(K40&lt;TODAY()-90,"⚠ OVERDUE",IF(K40&lt;TODAY(),"📋 PAST DUE",IF(K40&lt;=TODAY()+14,"🔔 DUE SOON","✅ ON TRACK"))))</f>
        <v/>
      </c>
    </row>
    <row r="41" customFormat="false" ht="36" hidden="false" customHeight="tru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2" t="str">
        <f aca="true">IF(K41="","",IF(K41&lt;TODAY()-90,"⚠ OVERDUE",IF(K41&lt;TODAY(),"📋 PAST DUE",IF(K41&lt;=TODAY()+14,"🔔 DUE SOON","✅ ON TRACK"))))</f>
        <v/>
      </c>
    </row>
    <row r="42" customFormat="false" ht="36" hidden="false" customHeight="true" outlineLevel="0" collapsed="false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70" t="str">
        <f aca="true">IF(K42="","",IF(K42&lt;TODAY()-90,"⚠ OVERDUE",IF(K42&lt;TODAY(),"📋 PAST DUE",IF(K42&lt;=TODAY()+14,"🔔 DUE SOON","✅ ON TRACK"))))</f>
        <v/>
      </c>
    </row>
    <row r="43" customFormat="false" ht="36" hidden="false" customHeight="tru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2" t="str">
        <f aca="true">IF(K43="","",IF(K43&lt;TODAY()-90,"⚠ OVERDUE",IF(K43&lt;TODAY(),"📋 PAST DUE",IF(K43&lt;=TODAY()+14,"🔔 DUE SOON","✅ ON TRACK"))))</f>
        <v/>
      </c>
    </row>
    <row r="44" customFormat="false" ht="36" hidden="false" customHeight="true" outlineLevel="0" collapsed="false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70" t="str">
        <f aca="true">IF(K44="","",IF(K44&lt;TODAY()-90,"⚠ OVERDUE",IF(K44&lt;TODAY(),"📋 PAST DUE",IF(K44&lt;=TODAY()+14,"🔔 DUE SOON","✅ ON TRACK"))))</f>
        <v/>
      </c>
    </row>
    <row r="45" customFormat="false" ht="36" hidden="false" customHeight="tru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2" t="str">
        <f aca="true">IF(K45="","",IF(K45&lt;TODAY()-90,"⚠ OVERDUE",IF(K45&lt;TODAY(),"📋 PAST DUE",IF(K45&lt;=TODAY()+14,"🔔 DUE SOON","✅ ON TRACK"))))</f>
        <v/>
      </c>
    </row>
    <row r="46" customFormat="false" ht="36" hidden="false" customHeight="true" outlineLevel="0" collapsed="false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70" t="str">
        <f aca="true">IF(K46="","",IF(K46&lt;TODAY()-90,"⚠ OVERDUE",IF(K46&lt;TODAY(),"📋 PAST DUE",IF(K46&lt;=TODAY()+14,"🔔 DUE SOON","✅ ON TRACK"))))</f>
        <v/>
      </c>
    </row>
    <row r="47" customFormat="false" ht="36" hidden="false" customHeight="tru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2" t="str">
        <f aca="true">IF(K47="","",IF(K47&lt;TODAY()-90,"⚠ OVERDUE",IF(K47&lt;TODAY(),"📋 PAST DUE",IF(K47&lt;=TODAY()+14,"🔔 DUE SOON","✅ ON TRACK"))))</f>
        <v/>
      </c>
    </row>
    <row r="48" customFormat="false" ht="36" hidden="false" customHeight="true" outlineLevel="0" collapsed="false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70" t="str">
        <f aca="true">IF(K48="","",IF(K48&lt;TODAY()-90,"⚠ OVERDUE",IF(K48&lt;TODAY(),"📋 PAST DUE",IF(K48&lt;=TODAY()+14,"🔔 DUE SOON","✅ ON TRACK"))))</f>
        <v/>
      </c>
    </row>
    <row r="49" customFormat="false" ht="36" hidden="false" customHeight="tru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2" t="str">
        <f aca="true">IF(K49="","",IF(K49&lt;TODAY()-90,"⚠ OVERDUE",IF(K49&lt;TODAY(),"📋 PAST DUE",IF(K49&lt;=TODAY()+14,"🔔 DUE SOON","✅ ON TRACK"))))</f>
        <v/>
      </c>
    </row>
    <row r="50" customFormat="false" ht="36" hidden="false" customHeight="true" outlineLevel="0" collapsed="false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70" t="str">
        <f aca="true">IF(K50="","",IF(K50&lt;TODAY()-90,"⚠ OVERDUE",IF(K50&lt;TODAY(),"📋 PAST DUE",IF(K50&lt;=TODAY()+14,"🔔 DUE SOON","✅ ON TRACK"))))</f>
        <v/>
      </c>
    </row>
    <row r="51" customFormat="false" ht="36" hidden="false" customHeight="tru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2" t="str">
        <f aca="true">IF(K51="","",IF(K51&lt;TODAY()-90,"⚠ OVERDUE",IF(K51&lt;TODAY(),"📋 PAST DUE",IF(K51&lt;=TODAY()+14,"🔔 DUE SOON","✅ ON TRACK"))))</f>
        <v/>
      </c>
    </row>
    <row r="52" customFormat="false" ht="36" hidden="false" customHeight="true" outlineLevel="0" collapsed="false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70" t="str">
        <f aca="true">IF(K52="","",IF(K52&lt;TODAY()-90,"⚠ OVERDUE",IF(K52&lt;TODAY(),"📋 PAST DUE",IF(K52&lt;=TODAY()+14,"🔔 DUE SOON","✅ ON TRACK"))))</f>
        <v/>
      </c>
    </row>
    <row r="53" customFormat="false" ht="36" hidden="false" customHeight="tru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2" t="str">
        <f aca="true">IF(K53="","",IF(K53&lt;TODAY()-90,"⚠ OVERDUE",IF(K53&lt;TODAY(),"📋 PAST DUE",IF(K53&lt;=TODAY()+14,"🔔 DUE SOON","✅ ON TRACK"))))</f>
        <v/>
      </c>
    </row>
    <row r="54" customFormat="false" ht="36" hidden="false" customHeight="true" outlineLevel="0" collapsed="false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70" t="str">
        <f aca="true">IF(K54="","",IF(K54&lt;TODAY()-90,"⚠ OVERDUE",IF(K54&lt;TODAY(),"📋 PAST DUE",IF(K54&lt;=TODAY()+14,"🔔 DUE SOON","✅ ON TRACK"))))</f>
        <v/>
      </c>
    </row>
    <row r="55" customFormat="false" ht="36" hidden="false" customHeight="tru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2" t="str">
        <f aca="true">IF(K55="","",IF(K55&lt;TODAY()-90,"⚠ OVERDUE",IF(K55&lt;TODAY(),"📋 PAST DUE",IF(K55&lt;=TODAY()+14,"🔔 DUE SOON","✅ ON TRACK"))))</f>
        <v/>
      </c>
    </row>
    <row r="56" customFormat="false" ht="36" hidden="false" customHeight="true" outlineLevel="0" collapsed="false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70" t="str">
        <f aca="true">IF(K56="","",IF(K56&lt;TODAY()-90,"⚠ OVERDUE",IF(K56&lt;TODAY(),"📋 PAST DUE",IF(K56&lt;=TODAY()+14,"🔔 DUE SOON","✅ ON TRACK"))))</f>
        <v/>
      </c>
    </row>
    <row r="57" customFormat="false" ht="36" hidden="false" customHeight="tru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2" t="str">
        <f aca="true">IF(K57="","",IF(K57&lt;TODAY()-90,"⚠ OVERDUE",IF(K57&lt;TODAY(),"📋 PAST DUE",IF(K57&lt;=TODAY()+14,"🔔 DUE SOON","✅ ON TRACK"))))</f>
        <v/>
      </c>
    </row>
    <row r="58" customFormat="false" ht="36" hidden="false" customHeight="true" outlineLevel="0" collapsed="false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70" t="str">
        <f aca="true">IF(K58="","",IF(K58&lt;TODAY()-90,"⚠ OVERDUE",IF(K58&lt;TODAY(),"📋 PAST DUE",IF(K58&lt;=TODAY()+14,"🔔 DUE SOON","✅ ON TRACK"))))</f>
        <v/>
      </c>
    </row>
    <row r="59" customFormat="false" ht="36" hidden="false" customHeight="tru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2" t="str">
        <f aca="true">IF(K59="","",IF(K59&lt;TODAY()-90,"⚠ OVERDUE",IF(K59&lt;TODAY(),"📋 PAST DUE",IF(K59&lt;=TODAY()+14,"🔔 DUE SOON","✅ ON TRACK"))))</f>
        <v/>
      </c>
    </row>
    <row r="60" customFormat="false" ht="36" hidden="false" customHeight="true" outlineLevel="0" collapsed="false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70" t="str">
        <f aca="true">IF(K60="","",IF(K60&lt;TODAY()-90,"⚠ OVERDUE",IF(K60&lt;TODAY(),"📋 PAST DUE",IF(K60&lt;=TODAY()+14,"🔔 DUE SOON","✅ ON TRACK"))))</f>
        <v/>
      </c>
    </row>
    <row r="61" customFormat="false" ht="36" hidden="false" customHeight="tru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2" t="str">
        <f aca="true">IF(K61="","",IF(K61&lt;TODAY()-90,"⚠ OVERDUE",IF(K61&lt;TODAY(),"📋 PAST DUE",IF(K61&lt;=TODAY()+14,"🔔 DUE SOON","✅ ON TRACK"))))</f>
        <v/>
      </c>
    </row>
    <row r="62" customFormat="false" ht="36" hidden="false" customHeight="true" outlineLevel="0" collapsed="false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70" t="str">
        <f aca="true">IF(K62="","",IF(K62&lt;TODAY()-90,"⚠ OVERDUE",IF(K62&lt;TODAY(),"📋 PAST DUE",IF(K62&lt;=TODAY()+14,"🔔 DUE SOON","✅ ON TRACK"))))</f>
        <v/>
      </c>
    </row>
    <row r="63" customFormat="false" ht="36" hidden="false" customHeight="tru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2" t="str">
        <f aca="true">IF(K63="","",IF(K63&lt;TODAY()-90,"⚠ OVERDUE",IF(K63&lt;TODAY(),"📋 PAST DUE",IF(K63&lt;=TODAY()+14,"🔔 DUE SOON","✅ ON TRACK"))))</f>
        <v/>
      </c>
    </row>
    <row r="64" customFormat="false" ht="36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70" t="str">
        <f aca="true">IF(K64="","",IF(K64&lt;TODAY()-90,"⚠ OVERDUE",IF(K64&lt;TODAY(),"📋 PAST DUE",IF(K64&lt;=TODAY()+14,"🔔 DUE SOON","✅ ON TRACK"))))</f>
        <v/>
      </c>
    </row>
    <row r="65" customFormat="false" ht="36" hidden="false" customHeight="tru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2" t="str">
        <f aca="true">IF(K65="","",IF(K65&lt;TODAY()-90,"⚠ OVERDUE",IF(K65&lt;TODAY(),"📋 PAST DUE",IF(K65&lt;=TODAY()+14,"🔔 DUE SOON","✅ ON TRACK"))))</f>
        <v/>
      </c>
    </row>
    <row r="66" customFormat="false" ht="36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70" t="str">
        <f aca="true">IF(K66="","",IF(K66&lt;TODAY()-90,"⚠ OVERDUE",IF(K66&lt;TODAY(),"📋 PAST DUE",IF(K66&lt;=TODAY()+14,"🔔 DUE SOON","✅ ON TRACK"))))</f>
        <v/>
      </c>
    </row>
    <row r="67" customFormat="false" ht="36" hidden="false" customHeight="tru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2" t="str">
        <f aca="true">IF(K67="","",IF(K67&lt;TODAY()-90,"⚠ OVERDUE",IF(K67&lt;TODAY(),"📋 PAST DUE",IF(K67&lt;=TODAY()+14,"🔔 DUE SOON","✅ ON TRACK"))))</f>
        <v/>
      </c>
    </row>
    <row r="68" customFormat="false" ht="36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70" t="str">
        <f aca="true">IF(K68="","",IF(K68&lt;TODAY()-90,"⚠ OVERDUE",IF(K68&lt;TODAY(),"📋 PAST DUE",IF(K68&lt;=TODAY()+14,"🔔 DUE SOON","✅ ON TRACK"))))</f>
        <v/>
      </c>
    </row>
    <row r="69" customFormat="false" ht="36" hidden="false" customHeight="tru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2" t="str">
        <f aca="true">IF(K69="","",IF(K69&lt;TODAY()-90,"⚠ OVERDUE",IF(K69&lt;TODAY(),"📋 PAST DUE",IF(K69&lt;=TODAY()+14,"🔔 DUE SOON","✅ ON TRACK"))))</f>
        <v/>
      </c>
    </row>
    <row r="70" customFormat="false" ht="36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70" t="str">
        <f aca="true">IF(K70="","",IF(K70&lt;TODAY()-90,"⚠ OVERDUE",IF(K70&lt;TODAY(),"📋 PAST DUE",IF(K70&lt;=TODAY()+14,"🔔 DUE SOON","✅ ON TRACK"))))</f>
        <v/>
      </c>
    </row>
    <row r="71" customFormat="false" ht="36" hidden="false" customHeight="tru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2" t="str">
        <f aca="true">IF(K71="","",IF(K71&lt;TODAY()-90,"⚠ OVERDUE",IF(K71&lt;TODAY(),"📋 PAST DUE",IF(K71&lt;=TODAY()+14,"🔔 DUE SOON","✅ ON TRACK"))))</f>
        <v/>
      </c>
    </row>
    <row r="72" customFormat="false" ht="36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70" t="str">
        <f aca="true">IF(K72="","",IF(K72&lt;TODAY()-90,"⚠ OVERDUE",IF(K72&lt;TODAY(),"📋 PAST DUE",IF(K72&lt;=TODAY()+14,"🔔 DUE SOON","✅ ON TRACK"))))</f>
        <v/>
      </c>
    </row>
    <row r="73" customFormat="false" ht="36" hidden="false" customHeight="tru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2" t="str">
        <f aca="true">IF(K73="","",IF(K73&lt;TODAY()-90,"⚠ OVERDUE",IF(K73&lt;TODAY(),"📋 PAST DUE",IF(K73&lt;=TODAY()+14,"🔔 DUE SOON","✅ ON TRACK"))))</f>
        <v/>
      </c>
    </row>
    <row r="74" customFormat="false" ht="36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70" t="str">
        <f aca="true">IF(K74="","",IF(K74&lt;TODAY()-90,"⚠ OVERDUE",IF(K74&lt;TODAY(),"📋 PAST DUE",IF(K74&lt;=TODAY()+14,"🔔 DUE SOON","✅ ON TRACK"))))</f>
        <v/>
      </c>
    </row>
    <row r="75" customFormat="false" ht="36" hidden="false" customHeight="tru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2" t="str">
        <f aca="true">IF(K75="","",IF(K75&lt;TODAY()-90,"⚠ OVERDUE",IF(K75&lt;TODAY(),"📋 PAST DUE",IF(K75&lt;=TODAY()+14,"🔔 DUE SOON","✅ ON TRACK"))))</f>
        <v/>
      </c>
    </row>
    <row r="76" customFormat="false" ht="36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70" t="str">
        <f aca="true">IF(K76="","",IF(K76&lt;TODAY()-90,"⚠ OVERDUE",IF(K76&lt;TODAY(),"📋 PAST DUE",IF(K76&lt;=TODAY()+14,"🔔 DUE SOON","✅ ON TRACK"))))</f>
        <v/>
      </c>
    </row>
    <row r="77" customFormat="false" ht="36" hidden="false" customHeight="tru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2" t="str">
        <f aca="true">IF(K77="","",IF(K77&lt;TODAY()-90,"⚠ OVERDUE",IF(K77&lt;TODAY(),"📋 PAST DUE",IF(K77&lt;=TODAY()+14,"🔔 DUE SOON","✅ ON TRACK"))))</f>
        <v/>
      </c>
    </row>
    <row r="78" customFormat="false" ht="36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70" t="str">
        <f aca="true">IF(K78="","",IF(K78&lt;TODAY()-90,"⚠ OVERDUE",IF(K78&lt;TODAY(),"📋 PAST DUE",IF(K78&lt;=TODAY()+14,"🔔 DUE SOON","✅ ON TRACK"))))</f>
        <v/>
      </c>
    </row>
    <row r="79" customFormat="false" ht="36" hidden="false" customHeight="tru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2" t="str">
        <f aca="true">IF(K79="","",IF(K79&lt;TODAY()-90,"⚠ OVERDUE",IF(K79&lt;TODAY(),"📋 PAST DUE",IF(K79&lt;=TODAY()+14,"🔔 DUE SOON","✅ ON TRACK"))))</f>
        <v/>
      </c>
    </row>
    <row r="80" customFormat="false" ht="36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70" t="str">
        <f aca="true">IF(K80="","",IF(K80&lt;TODAY()-90,"⚠ OVERDUE",IF(K80&lt;TODAY(),"📋 PAST DUE",IF(K80&lt;=TODAY()+14,"🔔 DUE SOON","✅ ON TRACK"))))</f>
        <v/>
      </c>
    </row>
    <row r="81" customFormat="false" ht="36" hidden="false" customHeight="tru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2" t="str">
        <f aca="true">IF(K81="","",IF(K81&lt;TODAY()-90,"⚠ OVERDUE",IF(K81&lt;TODAY(),"📋 PAST DUE",IF(K81&lt;=TODAY()+14,"🔔 DUE SOON","✅ ON TRACK"))))</f>
        <v/>
      </c>
    </row>
    <row r="82" customFormat="false" ht="36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70" t="str">
        <f aca="true">IF(K82="","",IF(K82&lt;TODAY()-90,"⚠ OVERDUE",IF(K82&lt;TODAY(),"📋 PAST DUE",IF(K82&lt;=TODAY()+14,"🔔 DUE SOON","✅ ON TRACK"))))</f>
        <v/>
      </c>
    </row>
    <row r="83" customFormat="false" ht="36" hidden="false" customHeight="tru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2" t="str">
        <f aca="true">IF(K83="","",IF(K83&lt;TODAY()-90,"⚠ OVERDUE",IF(K83&lt;TODAY(),"📋 PAST DUE",IF(K83&lt;=TODAY()+14,"🔔 DUE SOON","✅ ON TRACK"))))</f>
        <v/>
      </c>
    </row>
    <row r="84" customFormat="false" ht="36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70" t="str">
        <f aca="true">IF(K84="","",IF(K84&lt;TODAY()-90,"⚠ OVERDUE",IF(K84&lt;TODAY(),"📋 PAST DUE",IF(K84&lt;=TODAY()+14,"🔔 DUE SOON","✅ ON TRACK"))))</f>
        <v/>
      </c>
    </row>
    <row r="85" customFormat="false" ht="36" hidden="false" customHeight="tru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2" t="str">
        <f aca="true">IF(K85="","",IF(K85&lt;TODAY()-90,"⚠ OVERDUE",IF(K85&lt;TODAY(),"📋 PAST DUE",IF(K85&lt;=TODAY()+14,"🔔 DUE SOON","✅ ON TRACK"))))</f>
        <v/>
      </c>
    </row>
    <row r="86" customFormat="false" ht="36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70" t="str">
        <f aca="true">IF(K86="","",IF(K86&lt;TODAY()-90,"⚠ OVERDUE",IF(K86&lt;TODAY(),"📋 PAST DUE",IF(K86&lt;=TODAY()+14,"🔔 DUE SOON","✅ ON TRACK"))))</f>
        <v/>
      </c>
    </row>
    <row r="87" customFormat="false" ht="36" hidden="false" customHeight="tru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2" t="str">
        <f aca="true">IF(K87="","",IF(K87&lt;TODAY()-90,"⚠ OVERDUE",IF(K87&lt;TODAY(),"📋 PAST DUE",IF(K87&lt;=TODAY()+14,"🔔 DUE SOON","✅ ON TRACK"))))</f>
        <v/>
      </c>
    </row>
    <row r="88" customFormat="false" ht="36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70" t="str">
        <f aca="true">IF(K88="","",IF(K88&lt;TODAY()-90,"⚠ OVERDUE",IF(K88&lt;TODAY(),"📋 PAST DUE",IF(K88&lt;=TODAY()+14,"🔔 DUE SOON","✅ ON TRACK"))))</f>
        <v/>
      </c>
    </row>
    <row r="89" customFormat="false" ht="36" hidden="false" customHeight="tru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2" t="str">
        <f aca="true">IF(K89="","",IF(K89&lt;TODAY()-90,"⚠ OVERDUE",IF(K89&lt;TODAY(),"📋 PAST DUE",IF(K89&lt;=TODAY()+14,"🔔 DUE SOON","✅ ON TRACK"))))</f>
        <v/>
      </c>
    </row>
    <row r="90" customFormat="false" ht="36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70" t="str">
        <f aca="true">IF(K90="","",IF(K90&lt;TODAY()-90,"⚠ OVERDUE",IF(K90&lt;TODAY(),"📋 PAST DUE",IF(K90&lt;=TODAY()+14,"🔔 DUE SOON","✅ ON TRACK"))))</f>
        <v/>
      </c>
    </row>
    <row r="91" customFormat="false" ht="36" hidden="false" customHeight="tru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2" t="str">
        <f aca="true">IF(K91="","",IF(K91&lt;TODAY()-90,"⚠ OVERDUE",IF(K91&lt;TODAY(),"📋 PAST DUE",IF(K91&lt;=TODAY()+14,"🔔 DUE SOON","✅ ON TRACK"))))</f>
        <v/>
      </c>
    </row>
    <row r="92" customFormat="false" ht="36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70" t="str">
        <f aca="true">IF(K92="","",IF(K92&lt;TODAY()-90,"⚠ OVERDUE",IF(K92&lt;TODAY(),"📋 PAST DUE",IF(K92&lt;=TODAY()+14,"🔔 DUE SOON","✅ ON TRACK"))))</f>
        <v/>
      </c>
    </row>
    <row r="93" customFormat="false" ht="36" hidden="false" customHeight="tru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2" t="str">
        <f aca="true">IF(K93="","",IF(K93&lt;TODAY()-90,"⚠ OVERDUE",IF(K93&lt;TODAY(),"📋 PAST DUE",IF(K93&lt;=TODAY()+14,"🔔 DUE SOON","✅ ON TRACK"))))</f>
        <v/>
      </c>
    </row>
    <row r="94" customFormat="false" ht="36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70" t="str">
        <f aca="true">IF(K94="","",IF(K94&lt;TODAY()-90,"⚠ OVERDUE",IF(K94&lt;TODAY(),"📋 PAST DUE",IF(K94&lt;=TODAY()+14,"🔔 DUE SOON","✅ ON TRACK"))))</f>
        <v/>
      </c>
    </row>
    <row r="95" customFormat="false" ht="36" hidden="false" customHeight="tru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2" t="str">
        <f aca="true">IF(K95="","",IF(K95&lt;TODAY()-90,"⚠ OVERDUE",IF(K95&lt;TODAY(),"📋 PAST DUE",IF(K95&lt;=TODAY()+14,"🔔 DUE SOON","✅ ON TRACK"))))</f>
        <v/>
      </c>
    </row>
    <row r="96" customFormat="false" ht="36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70" t="str">
        <f aca="true">IF(K96="","",IF(K96&lt;TODAY()-90,"⚠ OVERDUE",IF(K96&lt;TODAY(),"📋 PAST DUE",IF(K96&lt;=TODAY()+14,"🔔 DUE SOON","✅ ON TRACK"))))</f>
        <v/>
      </c>
    </row>
    <row r="97" customFormat="false" ht="36" hidden="false" customHeight="tru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2" t="str">
        <f aca="true">IF(K97="","",IF(K97&lt;TODAY()-90,"⚠ OVERDUE",IF(K97&lt;TODAY(),"📋 PAST DUE",IF(K97&lt;=TODAY()+14,"🔔 DUE SOON","✅ ON TRACK"))))</f>
        <v/>
      </c>
    </row>
    <row r="98" customFormat="false" ht="36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70" t="str">
        <f aca="true">IF(K98="","",IF(K98&lt;TODAY()-90,"⚠ OVERDUE",IF(K98&lt;TODAY(),"📋 PAST DUE",IF(K98&lt;=TODAY()+14,"🔔 DUE SOON","✅ ON TRACK"))))</f>
        <v/>
      </c>
    </row>
    <row r="99" customFormat="false" ht="36" hidden="false" customHeight="tru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2" t="str">
        <f aca="true">IF(K99="","",IF(K99&lt;TODAY()-90,"⚠ OVERDUE",IF(K99&lt;TODAY(),"📋 PAST DUE",IF(K99&lt;=TODAY()+14,"🔔 DUE SOON","✅ ON TRACK"))))</f>
        <v/>
      </c>
    </row>
    <row r="101" customFormat="false" ht="24" hidden="false" customHeight="true" outlineLevel="0" collapsed="false">
      <c r="A101" s="55" t="s">
        <v>174</v>
      </c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</row>
    <row r="102" customFormat="false" ht="24" hidden="false" customHeight="true" outlineLevel="0" collapsed="false">
      <c r="A102" s="69" t="s">
        <v>16</v>
      </c>
      <c r="B102" s="73" t="s">
        <v>175</v>
      </c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</row>
    <row r="103" customFormat="false" ht="24" hidden="false" customHeight="true" outlineLevel="0" collapsed="false">
      <c r="A103" s="52" t="s">
        <v>18</v>
      </c>
      <c r="B103" s="58" t="s">
        <v>176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</row>
    <row r="104" customFormat="false" ht="24" hidden="false" customHeight="true" outlineLevel="0" collapsed="false">
      <c r="A104" s="62" t="s">
        <v>20</v>
      </c>
      <c r="B104" s="74" t="s">
        <v>177</v>
      </c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</row>
    <row r="105" customFormat="false" ht="24" hidden="false" customHeight="true" outlineLevel="0" collapsed="false">
      <c r="A105" s="50" t="s">
        <v>22</v>
      </c>
      <c r="B105" s="57" t="s">
        <v>178</v>
      </c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</row>
    <row r="106" customFormat="false" ht="24" hidden="false" customHeight="true" outlineLevel="0" collapsed="false">
      <c r="A106" s="75" t="s">
        <v>24</v>
      </c>
      <c r="B106" s="76" t="s">
        <v>179</v>
      </c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</row>
    <row r="107" customFormat="false" ht="24" hidden="false" customHeight="true" outlineLevel="0" collapsed="false">
      <c r="A107" s="65" t="s">
        <v>26</v>
      </c>
      <c r="B107" s="77" t="s">
        <v>180</v>
      </c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</row>
    <row r="108" customFormat="false" ht="24" hidden="false" customHeight="true" outlineLevel="0" collapsed="false">
      <c r="A108" s="65" t="s">
        <v>28</v>
      </c>
      <c r="B108" s="77" t="s">
        <v>181</v>
      </c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</row>
    <row r="109" customFormat="false" ht="24" hidden="false" customHeight="true" outlineLevel="0" collapsed="false">
      <c r="A109" s="43" t="s">
        <v>182</v>
      </c>
      <c r="B109" s="56" t="s">
        <v>183</v>
      </c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</row>
  </sheetData>
  <mergeCells count="12">
    <mergeCell ref="A1:M1"/>
    <mergeCell ref="A2:M2"/>
    <mergeCell ref="A3:M3"/>
    <mergeCell ref="A101:M101"/>
    <mergeCell ref="B102:M102"/>
    <mergeCell ref="B103:M103"/>
    <mergeCell ref="B104:M104"/>
    <mergeCell ref="B105:M105"/>
    <mergeCell ref="B106:M106"/>
    <mergeCell ref="B107:M107"/>
    <mergeCell ref="B108:M108"/>
    <mergeCell ref="B109:M10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24"/>
  </cols>
  <sheetData>
    <row r="1" customFormat="false" ht="36" hidden="false" customHeight="true" outlineLevel="0" collapsed="false">
      <c r="A1" s="59" t="s">
        <v>184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customFormat="false" ht="21.75" hidden="false" customHeight="true" outlineLevel="0" collapsed="false">
      <c r="A2" s="78" t="s">
        <v>185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3" customFormat="false" ht="36" hidden="false" customHeight="true" outlineLevel="0" collapsed="false">
      <c r="A3" s="6" t="s">
        <v>186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customFormat="false" ht="21.75" hidden="false" customHeight="true" outlineLevel="0" collapsed="false">
      <c r="A4" s="79" t="s">
        <v>187</v>
      </c>
      <c r="B4" s="80" t="n">
        <f aca="false">COUNTA(C6:C205)-COUNTBLANK(C6:C205)</f>
        <v>-192</v>
      </c>
      <c r="C4" s="79" t="s">
        <v>188</v>
      </c>
      <c r="D4" s="81" t="n">
        <f aca="false">SUM(E6:E205)</f>
        <v>450000</v>
      </c>
      <c r="E4" s="79" t="s">
        <v>189</v>
      </c>
      <c r="F4" s="81" t="n">
        <f aca="false">SUMIF(G6:G205,"Gift Received",F6:F205)</f>
        <v>85000</v>
      </c>
      <c r="G4" s="79" t="s">
        <v>190</v>
      </c>
      <c r="H4" s="82" t="n">
        <f aca="false">IF(COUNTA(C6:C205)-COUNTBLANK(C6:C205)=0,"-",COUNTIF(G6:G205,"Gift Received")/(COUNTA(C6:C205)-COUNTBLANK(C6:C205)))</f>
        <v>-0.0104166666666667</v>
      </c>
      <c r="I4" s="79" t="s">
        <v>191</v>
      </c>
      <c r="J4" s="80" t="n">
        <f aca="false">COUNTIF(G6:G205,"Submitted")+COUNTIF(G6:G205,"Under Consideration")</f>
        <v>3</v>
      </c>
    </row>
    <row r="5" customFormat="false" ht="42" hidden="false" customHeight="true" outlineLevel="0" collapsed="false">
      <c r="A5" s="7" t="s">
        <v>72</v>
      </c>
      <c r="B5" s="7" t="s">
        <v>73</v>
      </c>
      <c r="C5" s="7" t="s">
        <v>192</v>
      </c>
      <c r="D5" s="7" t="s">
        <v>193</v>
      </c>
      <c r="E5" s="7" t="s">
        <v>194</v>
      </c>
      <c r="F5" s="7" t="s">
        <v>195</v>
      </c>
      <c r="G5" s="7" t="s">
        <v>36</v>
      </c>
      <c r="H5" s="7" t="s">
        <v>196</v>
      </c>
      <c r="I5" s="7" t="s">
        <v>197</v>
      </c>
      <c r="J5" s="7" t="s">
        <v>198</v>
      </c>
      <c r="K5" s="7" t="s">
        <v>199</v>
      </c>
    </row>
    <row r="6" customFormat="false" ht="36" hidden="false" customHeight="true" outlineLevel="0" collapsed="false">
      <c r="A6" s="41" t="n">
        <v>1</v>
      </c>
      <c r="B6" s="42" t="s">
        <v>92</v>
      </c>
      <c r="C6" s="64" t="s">
        <v>148</v>
      </c>
      <c r="D6" s="42" t="s">
        <v>200</v>
      </c>
      <c r="E6" s="11" t="n">
        <v>100000</v>
      </c>
      <c r="F6" s="11" t="n">
        <v>0</v>
      </c>
      <c r="G6" s="83" t="s">
        <v>201</v>
      </c>
      <c r="H6" s="64" t="s">
        <v>202</v>
      </c>
      <c r="I6" s="64"/>
      <c r="J6" s="42" t="s">
        <v>149</v>
      </c>
      <c r="K6" s="42" t="s">
        <v>203</v>
      </c>
    </row>
    <row r="7" customFormat="false" ht="36" hidden="false" customHeight="true" outlineLevel="0" collapsed="false">
      <c r="A7" s="46" t="n">
        <v>2</v>
      </c>
      <c r="B7" s="47" t="s">
        <v>84</v>
      </c>
      <c r="C7" s="67" t="s">
        <v>173</v>
      </c>
      <c r="D7" s="47" t="s">
        <v>200</v>
      </c>
      <c r="E7" s="84" t="n">
        <v>250000</v>
      </c>
      <c r="F7" s="84" t="n">
        <v>0</v>
      </c>
      <c r="G7" s="48" t="s">
        <v>204</v>
      </c>
      <c r="H7" s="67" t="s">
        <v>205</v>
      </c>
      <c r="I7" s="67"/>
      <c r="J7" s="47" t="s">
        <v>143</v>
      </c>
      <c r="K7" s="47" t="s">
        <v>206</v>
      </c>
    </row>
    <row r="8" customFormat="false" ht="36" hidden="false" customHeight="true" outlineLevel="0" collapsed="false">
      <c r="A8" s="41" t="n">
        <v>3</v>
      </c>
      <c r="B8" s="42" t="s">
        <v>163</v>
      </c>
      <c r="C8" s="64" t="s">
        <v>207</v>
      </c>
      <c r="D8" s="42" t="s">
        <v>200</v>
      </c>
      <c r="E8" s="11" t="n">
        <v>75000</v>
      </c>
      <c r="F8" s="11" t="n">
        <v>75000</v>
      </c>
      <c r="G8" s="44" t="s">
        <v>26</v>
      </c>
      <c r="H8" s="64"/>
      <c r="I8" s="64" t="s">
        <v>208</v>
      </c>
      <c r="J8" s="42" t="s">
        <v>143</v>
      </c>
      <c r="K8" s="42" t="s">
        <v>209</v>
      </c>
    </row>
    <row r="9" customFormat="false" ht="36" hidden="false" customHeight="true" outlineLevel="0" collapsed="false">
      <c r="A9" s="46" t="n">
        <v>4</v>
      </c>
      <c r="B9" s="47" t="s">
        <v>210</v>
      </c>
      <c r="C9" s="67" t="s">
        <v>211</v>
      </c>
      <c r="D9" s="47" t="s">
        <v>212</v>
      </c>
      <c r="E9" s="84" t="n">
        <v>25000</v>
      </c>
      <c r="F9" s="84" t="n">
        <v>10000</v>
      </c>
      <c r="G9" s="44" t="s">
        <v>26</v>
      </c>
      <c r="H9" s="67"/>
      <c r="I9" s="67" t="s">
        <v>213</v>
      </c>
      <c r="J9" s="47" t="s">
        <v>214</v>
      </c>
      <c r="K9" s="47" t="s">
        <v>215</v>
      </c>
    </row>
    <row r="10" customFormat="false" ht="36" hidden="false" customHeight="true" outlineLevel="0" collapsed="false">
      <c r="A10" s="41" t="n">
        <v>5</v>
      </c>
      <c r="B10" s="42" t="s">
        <v>99</v>
      </c>
      <c r="C10" s="64"/>
      <c r="D10" s="42"/>
      <c r="E10" s="11" t="s">
        <v>216</v>
      </c>
      <c r="F10" s="11" t="n">
        <v>0</v>
      </c>
      <c r="G10" s="83" t="s">
        <v>201</v>
      </c>
      <c r="H10" s="64"/>
      <c r="I10" s="64"/>
      <c r="J10" s="42" t="s">
        <v>149</v>
      </c>
      <c r="K10" s="42" t="s">
        <v>217</v>
      </c>
    </row>
    <row r="11" customFormat="false" ht="24" hidden="false" customHeight="true" outlineLevel="0" collapsed="false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</row>
    <row r="12" customFormat="false" ht="24" hidden="false" customHeight="true" outlineLevel="0" collapsed="false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</row>
    <row r="13" customFormat="false" ht="24" hidden="false" customHeight="true" outlineLevel="0" collapsed="false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</row>
    <row r="14" customFormat="false" ht="24" hidden="false" customHeight="true" outlineLevel="0" collapsed="false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</row>
    <row r="15" customFormat="false" ht="24" hidden="false" customHeight="true" outlineLevel="0" collapsed="false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</row>
    <row r="16" customFormat="false" ht="24" hidden="false" customHeight="true" outlineLevel="0" collapsed="false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</row>
    <row r="17" customFormat="false" ht="24" hidden="false" customHeight="true" outlineLevel="0" collapsed="false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</row>
    <row r="18" customFormat="false" ht="24" hidden="false" customHeight="true" outlineLevel="0" collapsed="false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</row>
    <row r="19" customFormat="false" ht="24" hidden="false" customHeight="true" outlineLevel="0" collapsed="false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</row>
    <row r="20" customFormat="false" ht="24" hidden="false" customHeight="true" outlineLevel="0" collapsed="false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</row>
    <row r="21" customFormat="false" ht="24" hidden="false" customHeight="true" outlineLevel="0" collapsed="false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</row>
    <row r="22" customFormat="false" ht="24" hidden="false" customHeight="true" outlineLevel="0" collapsed="false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</row>
    <row r="23" customFormat="false" ht="24" hidden="false" customHeight="true" outlineLevel="0" collapsed="false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</row>
    <row r="24" customFormat="false" ht="24" hidden="false" customHeight="true" outlineLevel="0" collapsed="false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</row>
    <row r="25" customFormat="false" ht="24" hidden="false" customHeight="true" outlineLevel="0" collapsed="false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</row>
    <row r="26" customFormat="false" ht="24" hidden="false" customHeight="true" outlineLevel="0" collapsed="false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</row>
    <row r="27" customFormat="false" ht="24" hidden="false" customHeight="true" outlineLevel="0" collapsed="false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</row>
    <row r="28" customFormat="false" ht="24" hidden="false" customHeight="true" outlineLevel="0" collapsed="false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</row>
    <row r="29" customFormat="false" ht="24" hidden="false" customHeight="true" outlineLevel="0" collapsed="false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</row>
    <row r="30" customFormat="false" ht="24" hidden="false" customHeight="true" outlineLevel="0" collapsed="false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</row>
    <row r="31" customFormat="false" ht="24" hidden="false" customHeight="true" outlineLevel="0" collapsed="false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</row>
    <row r="32" customFormat="false" ht="24" hidden="false" customHeight="true" outlineLevel="0" collapsed="false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</row>
    <row r="33" customFormat="false" ht="24" hidden="false" customHeight="true" outlineLevel="0" collapsed="false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</row>
    <row r="34" customFormat="false" ht="24" hidden="false" customHeight="true" outlineLevel="0" collapsed="false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</row>
    <row r="35" customFormat="false" ht="24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</row>
    <row r="36" customFormat="false" ht="24" hidden="false" customHeight="true" outlineLevel="0" collapsed="false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</row>
    <row r="37" customFormat="false" ht="24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</row>
    <row r="38" customFormat="false" ht="24" hidden="false" customHeight="true" outlineLevel="0" collapsed="false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</row>
    <row r="39" customFormat="false" ht="24" hidden="false" customHeight="true" outlineLevel="0" collapsed="false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</row>
    <row r="40" customFormat="false" ht="24" hidden="false" customHeight="true" outlineLevel="0" collapsed="false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</row>
    <row r="41" customFormat="false" ht="24" hidden="false" customHeight="true" outlineLevel="0" collapsed="false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customFormat="false" ht="24" hidden="false" customHeight="true" outlineLevel="0" collapsed="false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customFormat="false" ht="24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</row>
    <row r="44" customFormat="false" ht="24" hidden="false" customHeight="true" outlineLevel="0" collapsed="false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</row>
    <row r="45" customFormat="false" ht="24" hidden="false" customHeight="true" outlineLevel="0" collapsed="false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</row>
    <row r="46" customFormat="false" ht="24" hidden="false" customHeight="true" outlineLevel="0" collapsed="false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customFormat="false" ht="24" hidden="false" customHeight="true" outlineLevel="0" collapsed="false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</row>
    <row r="48" customFormat="false" ht="24" hidden="false" customHeight="true" outlineLevel="0" collapsed="false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customFormat="false" ht="24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</row>
    <row r="50" customFormat="false" ht="24" hidden="false" customHeight="true" outlineLevel="0" collapsed="false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customFormat="false" ht="24" hidden="false" customHeight="true" outlineLevel="0" collapsed="false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</row>
    <row r="52" customFormat="false" ht="24" hidden="false" customHeight="true" outlineLevel="0" collapsed="false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</row>
    <row r="53" customFormat="false" ht="24" hidden="false" customHeight="true" outlineLevel="0" collapsed="false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</row>
    <row r="54" customFormat="false" ht="24" hidden="false" customHeight="true" outlineLevel="0" collapsed="false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</row>
    <row r="55" customFormat="false" ht="24" hidden="false" customHeight="true" outlineLevel="0" collapsed="false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</row>
    <row r="56" customFormat="false" ht="24" hidden="false" customHeight="true" outlineLevel="0" collapsed="false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</row>
    <row r="57" customFormat="false" ht="24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</row>
    <row r="58" customFormat="false" ht="24" hidden="false" customHeight="true" outlineLevel="0" collapsed="false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</row>
    <row r="59" customFormat="false" ht="24" hidden="false" customHeight="true" outlineLevel="0" collapsed="false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</row>
    <row r="60" customFormat="false" ht="24" hidden="false" customHeight="true" outlineLevel="0" collapsed="false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</row>
    <row r="61" customFormat="false" ht="24" hidden="false" customHeight="true" outlineLevel="0" collapsed="false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</row>
    <row r="62" customFormat="false" ht="24" hidden="false" customHeight="true" outlineLevel="0" collapsed="false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</row>
    <row r="63" customFormat="false" ht="24" hidden="false" customHeight="true" outlineLevel="0" collapsed="false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</row>
    <row r="64" customFormat="false" ht="24" hidden="false" customHeight="true" outlineLevel="0" collapsed="false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</row>
    <row r="65" customFormat="false" ht="24" hidden="false" customHeight="true" outlineLevel="0" collapsed="false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</row>
    <row r="66" customFormat="false" ht="24" hidden="false" customHeight="true" outlineLevel="0" collapsed="false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</row>
    <row r="67" customFormat="false" ht="24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</row>
    <row r="68" customFormat="false" ht="24" hidden="false" customHeight="true" outlineLevel="0" collapsed="false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</row>
    <row r="69" customFormat="false" ht="24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</row>
    <row r="70" customFormat="false" ht="24" hidden="false" customHeight="true" outlineLevel="0" collapsed="false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</row>
    <row r="71" customFormat="false" ht="24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</row>
    <row r="72" customFormat="false" ht="24" hidden="false" customHeight="true" outlineLevel="0" collapsed="false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</row>
    <row r="73" customFormat="false" ht="24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</row>
    <row r="74" customFormat="false" ht="24" hidden="false" customHeight="true" outlineLevel="0" collapsed="false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</row>
    <row r="75" customFormat="false" ht="24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</row>
    <row r="76" customFormat="false" ht="24" hidden="false" customHeight="true" outlineLevel="0" collapsed="false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</row>
    <row r="77" customFormat="false" ht="24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</row>
    <row r="78" customFormat="false" ht="24" hidden="false" customHeight="true" outlineLevel="0" collapsed="false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</row>
    <row r="79" customFormat="false" ht="24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</row>
    <row r="80" customFormat="false" ht="24" hidden="false" customHeight="true" outlineLevel="0" collapsed="false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</row>
    <row r="81" customFormat="false" ht="24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</row>
    <row r="82" customFormat="false" ht="24" hidden="false" customHeight="true" outlineLevel="0" collapsed="false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</row>
    <row r="83" customFormat="false" ht="24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</row>
    <row r="84" customFormat="false" ht="24" hidden="false" customHeight="true" outlineLevel="0" collapsed="false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</row>
    <row r="85" customFormat="false" ht="24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</row>
    <row r="86" customFormat="false" ht="24" hidden="false" customHeight="true" outlineLevel="0" collapsed="false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</row>
    <row r="87" customFormat="false" ht="24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</row>
    <row r="88" customFormat="false" ht="24" hidden="false" customHeight="true" outlineLevel="0" collapsed="false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</row>
    <row r="89" customFormat="false" ht="24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</row>
    <row r="90" customFormat="false" ht="24" hidden="false" customHeight="true" outlineLevel="0" collapsed="false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</row>
    <row r="91" customFormat="false" ht="24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</row>
    <row r="92" customFormat="false" ht="24" hidden="false" customHeight="true" outlineLevel="0" collapsed="false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</row>
    <row r="93" customFormat="false" ht="24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</row>
    <row r="94" customFormat="false" ht="24" hidden="false" customHeight="true" outlineLevel="0" collapsed="false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</row>
    <row r="95" customFormat="false" ht="24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</row>
    <row r="96" customFormat="false" ht="24" hidden="false" customHeight="true" outlineLevel="0" collapsed="false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</row>
    <row r="97" customFormat="false" ht="24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</row>
    <row r="98" customFormat="false" ht="24" hidden="false" customHeight="true" outlineLevel="0" collapsed="false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</row>
    <row r="99" customFormat="false" ht="24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</row>
    <row r="100" customFormat="false" ht="24" hidden="false" customHeight="true" outlineLevel="0" collapsed="false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</row>
    <row r="101" customFormat="false" ht="24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</row>
    <row r="102" customFormat="false" ht="24" hidden="false" customHeight="true" outlineLevel="0" collapsed="false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</row>
    <row r="103" customFormat="false" ht="24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</row>
    <row r="104" customFormat="false" ht="24" hidden="false" customHeight="true" outlineLevel="0" collapsed="false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</row>
    <row r="105" customFormat="false" ht="24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</row>
    <row r="106" customFormat="false" ht="24" hidden="false" customHeight="true" outlineLevel="0" collapsed="false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</row>
    <row r="107" customFormat="false" ht="24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</row>
    <row r="108" customFormat="false" ht="24" hidden="false" customHeight="true" outlineLevel="0" collapsed="false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</row>
    <row r="109" customFormat="false" ht="24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</row>
    <row r="110" customFormat="false" ht="24" hidden="false" customHeight="true" outlineLevel="0" collapsed="false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</row>
    <row r="111" customFormat="false" ht="24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</row>
    <row r="112" customFormat="false" ht="24" hidden="false" customHeight="true" outlineLevel="0" collapsed="false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</row>
    <row r="113" customFormat="false" ht="24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</row>
    <row r="114" customFormat="false" ht="24" hidden="false" customHeight="true" outlineLevel="0" collapsed="false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</row>
    <row r="115" customFormat="false" ht="24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</row>
    <row r="116" customFormat="false" ht="24" hidden="false" customHeight="true" outlineLevel="0" collapsed="false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</row>
    <row r="117" customFormat="false" ht="24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</row>
    <row r="118" customFormat="false" ht="24" hidden="false" customHeight="true" outlineLevel="0" collapsed="false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</row>
    <row r="119" customFormat="false" ht="24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</row>
    <row r="120" customFormat="false" ht="24" hidden="false" customHeight="true" outlineLevel="0" collapsed="false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</row>
    <row r="121" customFormat="false" ht="24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</row>
    <row r="122" customFormat="false" ht="24" hidden="false" customHeight="true" outlineLevel="0" collapsed="false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</row>
    <row r="123" customFormat="false" ht="24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</row>
    <row r="124" customFormat="false" ht="24" hidden="false" customHeight="true" outlineLevel="0" collapsed="false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</row>
    <row r="125" customFormat="false" ht="24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</row>
    <row r="126" customFormat="false" ht="24" hidden="false" customHeight="true" outlineLevel="0" collapsed="false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</row>
    <row r="127" customFormat="false" ht="24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</row>
    <row r="128" customFormat="false" ht="24" hidden="false" customHeight="true" outlineLevel="0" collapsed="false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</row>
    <row r="129" customFormat="false" ht="24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</row>
    <row r="130" customFormat="false" ht="24" hidden="false" customHeight="true" outlineLevel="0" collapsed="false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</row>
    <row r="131" customFormat="false" ht="24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</row>
    <row r="132" customFormat="false" ht="24" hidden="false" customHeight="true" outlineLevel="0" collapsed="false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</row>
    <row r="133" customFormat="false" ht="24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</row>
    <row r="134" customFormat="false" ht="24" hidden="false" customHeight="true" outlineLevel="0" collapsed="false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</row>
    <row r="135" customFormat="false" ht="24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</row>
    <row r="136" customFormat="false" ht="24" hidden="false" customHeight="true" outlineLevel="0" collapsed="false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</row>
    <row r="137" customFormat="false" ht="24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</row>
    <row r="138" customFormat="false" ht="24" hidden="false" customHeight="true" outlineLevel="0" collapsed="false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</row>
    <row r="139" customFormat="false" ht="24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</row>
    <row r="140" customFormat="false" ht="24" hidden="false" customHeight="true" outlineLevel="0" collapsed="false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</row>
    <row r="141" customFormat="false" ht="24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</row>
    <row r="142" customFormat="false" ht="24" hidden="false" customHeight="true" outlineLevel="0" collapsed="false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</row>
    <row r="143" customFormat="false" ht="24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</row>
    <row r="144" customFormat="false" ht="24" hidden="false" customHeight="true" outlineLevel="0" collapsed="false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</row>
    <row r="145" customFormat="false" ht="24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</row>
    <row r="146" customFormat="false" ht="24" hidden="false" customHeight="true" outlineLevel="0" collapsed="false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</row>
    <row r="147" customFormat="false" ht="24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</row>
    <row r="148" customFormat="false" ht="24" hidden="false" customHeight="true" outlineLevel="0" collapsed="false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</row>
    <row r="149" customFormat="false" ht="24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</row>
    <row r="150" customFormat="false" ht="24" hidden="false" customHeight="true" outlineLevel="0" collapsed="false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</row>
    <row r="151" customFormat="false" ht="24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</row>
    <row r="152" customFormat="false" ht="24" hidden="false" customHeight="true" outlineLevel="0" collapsed="false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</row>
    <row r="153" customFormat="false" ht="24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</row>
    <row r="154" customFormat="false" ht="24" hidden="false" customHeight="true" outlineLevel="0" collapsed="false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</row>
    <row r="155" customFormat="false" ht="24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</row>
    <row r="156" customFormat="false" ht="24" hidden="false" customHeight="true" outlineLevel="0" collapsed="false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</row>
    <row r="157" customFormat="false" ht="24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</row>
    <row r="158" customFormat="false" ht="24" hidden="false" customHeight="true" outlineLevel="0" collapsed="false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</row>
    <row r="159" customFormat="false" ht="24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</row>
    <row r="160" customFormat="false" ht="24" hidden="false" customHeight="true" outlineLevel="0" collapsed="false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</row>
    <row r="161" customFormat="false" ht="24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</row>
    <row r="162" customFormat="false" ht="24" hidden="false" customHeight="true" outlineLevel="0" collapsed="false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</row>
    <row r="163" customFormat="false" ht="24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</row>
    <row r="164" customFormat="false" ht="24" hidden="false" customHeight="true" outlineLevel="0" collapsed="false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</row>
    <row r="165" customFormat="false" ht="24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</row>
    <row r="166" customFormat="false" ht="24" hidden="false" customHeight="true" outlineLevel="0" collapsed="false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</row>
    <row r="167" customFormat="false" ht="24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</row>
    <row r="168" customFormat="false" ht="24" hidden="false" customHeight="true" outlineLevel="0" collapsed="false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</row>
    <row r="169" customFormat="false" ht="24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</row>
    <row r="170" customFormat="false" ht="24" hidden="false" customHeight="true" outlineLevel="0" collapsed="false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</row>
    <row r="171" customFormat="false" ht="24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</row>
    <row r="172" customFormat="false" ht="24" hidden="false" customHeight="true" outlineLevel="0" collapsed="false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</row>
    <row r="173" customFormat="false" ht="24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</row>
    <row r="174" customFormat="false" ht="24" hidden="false" customHeight="true" outlineLevel="0" collapsed="false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</row>
    <row r="175" customFormat="false" ht="24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</row>
    <row r="176" customFormat="false" ht="24" hidden="false" customHeight="true" outlineLevel="0" collapsed="false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</row>
    <row r="177" customFormat="false" ht="24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</row>
    <row r="178" customFormat="false" ht="24" hidden="false" customHeight="true" outlineLevel="0" collapsed="false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</row>
    <row r="179" customFormat="false" ht="24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</row>
    <row r="180" customFormat="false" ht="24" hidden="false" customHeight="true" outlineLevel="0" collapsed="false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</row>
    <row r="181" customFormat="false" ht="24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</row>
    <row r="182" customFormat="false" ht="24" hidden="false" customHeight="true" outlineLevel="0" collapsed="false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</row>
    <row r="183" customFormat="false" ht="24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</row>
    <row r="184" customFormat="false" ht="24" hidden="false" customHeight="true" outlineLevel="0" collapsed="false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</row>
    <row r="185" customFormat="false" ht="24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</row>
    <row r="186" customFormat="false" ht="24" hidden="false" customHeight="true" outlineLevel="0" collapsed="false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</row>
    <row r="187" customFormat="false" ht="24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</row>
    <row r="188" customFormat="false" ht="24" hidden="false" customHeight="true" outlineLevel="0" collapsed="false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</row>
    <row r="189" customFormat="false" ht="24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</row>
    <row r="190" customFormat="false" ht="24" hidden="false" customHeight="true" outlineLevel="0" collapsed="false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</row>
    <row r="191" customFormat="false" ht="24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</row>
    <row r="192" customFormat="false" ht="24" hidden="false" customHeight="true" outlineLevel="0" collapsed="false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</row>
    <row r="193" customFormat="false" ht="24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</row>
    <row r="194" customFormat="false" ht="24" hidden="false" customHeight="true" outlineLevel="0" collapsed="false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</row>
    <row r="195" customFormat="false" ht="24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</row>
    <row r="196" customFormat="false" ht="24" hidden="false" customHeight="true" outlineLevel="0" collapsed="false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</row>
    <row r="197" customFormat="false" ht="24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</row>
    <row r="198" customFormat="false" ht="24" hidden="false" customHeight="true" outlineLevel="0" collapsed="false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</row>
    <row r="199" customFormat="false" ht="24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</row>
    <row r="200" customFormat="false" ht="24" hidden="false" customHeight="true" outlineLevel="0" collapsed="false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</row>
    <row r="201" customFormat="false" ht="24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</row>
    <row r="202" customFormat="false" ht="24" hidden="false" customHeight="true" outlineLevel="0" collapsed="false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</row>
    <row r="203" customFormat="false" ht="24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</row>
    <row r="204" customFormat="false" ht="24" hidden="false" customHeight="true" outlineLevel="0" collapsed="false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</row>
    <row r="205" customFormat="false" ht="24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</row>
    <row r="207" customFormat="false" ht="24" hidden="false" customHeight="true" outlineLevel="0" collapsed="false">
      <c r="A207" s="55" t="s">
        <v>218</v>
      </c>
      <c r="B207" s="55"/>
      <c r="C207" s="55"/>
      <c r="D207" s="55"/>
      <c r="E207" s="55"/>
      <c r="F207" s="55"/>
      <c r="G207" s="55"/>
      <c r="H207" s="55"/>
      <c r="I207" s="55"/>
      <c r="J207" s="55"/>
      <c r="K207" s="55"/>
    </row>
    <row r="208" customFormat="false" ht="21.75" hidden="false" customHeight="true" outlineLevel="0" collapsed="false">
      <c r="A208" s="83" t="s">
        <v>201</v>
      </c>
      <c r="B208" s="74" t="s">
        <v>219</v>
      </c>
      <c r="C208" s="74"/>
      <c r="D208" s="74"/>
      <c r="E208" s="74"/>
      <c r="F208" s="74"/>
      <c r="G208" s="74"/>
      <c r="H208" s="74"/>
      <c r="I208" s="74"/>
      <c r="J208" s="74"/>
      <c r="K208" s="74"/>
    </row>
    <row r="209" customFormat="false" ht="21.75" hidden="false" customHeight="true" outlineLevel="0" collapsed="false">
      <c r="A209" s="48" t="s">
        <v>204</v>
      </c>
      <c r="B209" s="57" t="s">
        <v>220</v>
      </c>
      <c r="C209" s="57"/>
      <c r="D209" s="57"/>
      <c r="E209" s="57"/>
      <c r="F209" s="57"/>
      <c r="G209" s="57"/>
      <c r="H209" s="57"/>
      <c r="I209" s="57"/>
      <c r="J209" s="57"/>
      <c r="K209" s="57"/>
    </row>
    <row r="210" customFormat="false" ht="21.75" hidden="false" customHeight="true" outlineLevel="0" collapsed="false">
      <c r="A210" s="44" t="s">
        <v>26</v>
      </c>
      <c r="B210" s="77" t="s">
        <v>221</v>
      </c>
      <c r="C210" s="77"/>
      <c r="D210" s="77"/>
      <c r="E210" s="77"/>
      <c r="F210" s="77"/>
      <c r="G210" s="77"/>
      <c r="H210" s="77"/>
      <c r="I210" s="77"/>
      <c r="J210" s="77"/>
      <c r="K210" s="77"/>
    </row>
    <row r="211" customFormat="false" ht="21.75" hidden="false" customHeight="true" outlineLevel="0" collapsed="false">
      <c r="A211" s="85" t="s">
        <v>222</v>
      </c>
      <c r="B211" s="76" t="s">
        <v>223</v>
      </c>
      <c r="C211" s="76"/>
      <c r="D211" s="76"/>
      <c r="E211" s="76"/>
      <c r="F211" s="76"/>
      <c r="G211" s="76"/>
      <c r="H211" s="76"/>
      <c r="I211" s="76"/>
      <c r="J211" s="76"/>
      <c r="K211" s="76"/>
    </row>
    <row r="212" customFormat="false" ht="21.75" hidden="false" customHeight="true" outlineLevel="0" collapsed="false">
      <c r="A212" s="51" t="s">
        <v>182</v>
      </c>
      <c r="B212" s="56" t="s">
        <v>224</v>
      </c>
      <c r="C212" s="56"/>
      <c r="D212" s="56"/>
      <c r="E212" s="56"/>
      <c r="F212" s="56"/>
      <c r="G212" s="56"/>
      <c r="H212" s="56"/>
      <c r="I212" s="56"/>
      <c r="J212" s="56"/>
      <c r="K212" s="56"/>
    </row>
    <row r="213" customFormat="false" ht="21.75" hidden="false" customHeight="true" outlineLevel="0" collapsed="false">
      <c r="A213" s="86" t="s">
        <v>225</v>
      </c>
      <c r="B213" s="73" t="s">
        <v>226</v>
      </c>
      <c r="C213" s="73"/>
      <c r="D213" s="73"/>
      <c r="E213" s="73"/>
      <c r="F213" s="73"/>
      <c r="G213" s="73"/>
      <c r="H213" s="73"/>
      <c r="I213" s="73"/>
      <c r="J213" s="73"/>
      <c r="K213" s="73"/>
    </row>
  </sheetData>
  <mergeCells count="10">
    <mergeCell ref="A1:K1"/>
    <mergeCell ref="A2:K2"/>
    <mergeCell ref="A3:K3"/>
    <mergeCell ref="A207:K207"/>
    <mergeCell ref="B208:K208"/>
    <mergeCell ref="B209:K209"/>
    <mergeCell ref="B210:K210"/>
    <mergeCell ref="B211:K211"/>
    <mergeCell ref="B212:K212"/>
    <mergeCell ref="B213:K2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22"/>
    <col collapsed="false" customWidth="true" hidden="false" outlineLevel="0" max="16" min="5" style="0" width="14"/>
  </cols>
  <sheetData>
    <row r="1" customFormat="false" ht="36" hidden="false" customHeight="true" outlineLevel="0" collapsed="false">
      <c r="A1" s="33" t="s">
        <v>227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21.75" hidden="false" customHeight="true" outlineLevel="0" collapsed="false">
      <c r="A2" s="34" t="s">
        <v>228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customFormat="false" ht="36" hidden="false" customHeight="true" outlineLevel="0" collapsed="false">
      <c r="A3" s="6" t="s">
        <v>229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customFormat="false" ht="27.75" hidden="false" customHeight="true" outlineLevel="0" collapsed="false">
      <c r="A4" s="18" t="s">
        <v>230</v>
      </c>
      <c r="B4" s="87" t="s">
        <v>231</v>
      </c>
      <c r="C4" s="87" t="s">
        <v>232</v>
      </c>
      <c r="D4" s="87" t="s">
        <v>233</v>
      </c>
      <c r="E4" s="88" t="s">
        <v>234</v>
      </c>
      <c r="F4" s="89" t="s">
        <v>235</v>
      </c>
      <c r="G4" s="88" t="s">
        <v>236</v>
      </c>
      <c r="H4" s="89" t="s">
        <v>237</v>
      </c>
      <c r="I4" s="88" t="s">
        <v>238</v>
      </c>
      <c r="J4" s="89" t="s">
        <v>239</v>
      </c>
      <c r="K4" s="88" t="s">
        <v>240</v>
      </c>
      <c r="L4" s="89" t="s">
        <v>241</v>
      </c>
      <c r="M4" s="88" t="s">
        <v>242</v>
      </c>
      <c r="N4" s="89" t="s">
        <v>243</v>
      </c>
      <c r="O4" s="88" t="s">
        <v>244</v>
      </c>
      <c r="P4" s="89" t="s">
        <v>245</v>
      </c>
    </row>
    <row r="5" customFormat="false" ht="51.75" hidden="false" customHeight="true" outlineLevel="0" collapsed="false">
      <c r="A5" s="90" t="s">
        <v>163</v>
      </c>
      <c r="B5" s="91" t="n">
        <v>75000</v>
      </c>
      <c r="C5" s="67" t="s">
        <v>246</v>
      </c>
      <c r="D5" s="24" t="s">
        <v>247</v>
      </c>
      <c r="E5" s="92" t="s">
        <v>248</v>
      </c>
      <c r="F5" s="92" t="s">
        <v>249</v>
      </c>
      <c r="G5" s="92" t="s">
        <v>250</v>
      </c>
      <c r="H5" s="92" t="s">
        <v>251</v>
      </c>
      <c r="I5" s="70"/>
      <c r="J5" s="92" t="s">
        <v>252</v>
      </c>
      <c r="K5" s="70"/>
      <c r="L5" s="92" t="s">
        <v>253</v>
      </c>
      <c r="M5" s="92" t="s">
        <v>254</v>
      </c>
      <c r="N5" s="70"/>
      <c r="O5" s="92" t="s">
        <v>255</v>
      </c>
      <c r="P5" s="92" t="s">
        <v>256</v>
      </c>
    </row>
    <row r="6" customFormat="false" ht="51.75" hidden="false" customHeight="true" outlineLevel="0" collapsed="false">
      <c r="A6" s="93" t="s">
        <v>84</v>
      </c>
      <c r="B6" s="94" t="n">
        <v>250000</v>
      </c>
      <c r="C6" s="64" t="s">
        <v>257</v>
      </c>
      <c r="D6" s="95" t="s">
        <v>258</v>
      </c>
      <c r="E6" s="92" t="s">
        <v>259</v>
      </c>
      <c r="F6" s="92" t="s">
        <v>260</v>
      </c>
      <c r="G6" s="96"/>
      <c r="H6" s="92" t="s">
        <v>261</v>
      </c>
      <c r="I6" s="92" t="s">
        <v>262</v>
      </c>
      <c r="J6" s="96"/>
      <c r="K6" s="92" t="s">
        <v>251</v>
      </c>
      <c r="L6" s="96"/>
      <c r="M6" s="92" t="s">
        <v>254</v>
      </c>
      <c r="N6" s="92" t="s">
        <v>263</v>
      </c>
      <c r="O6" s="92" t="s">
        <v>264</v>
      </c>
      <c r="P6" s="96"/>
    </row>
    <row r="7" customFormat="false" ht="51.75" hidden="false" customHeight="true" outlineLevel="0" collapsed="false">
      <c r="A7" s="90" t="s">
        <v>92</v>
      </c>
      <c r="B7" s="91" t="n">
        <v>100000</v>
      </c>
      <c r="C7" s="67" t="s">
        <v>257</v>
      </c>
      <c r="D7" s="24" t="s">
        <v>265</v>
      </c>
      <c r="E7" s="92" t="s">
        <v>266</v>
      </c>
      <c r="F7" s="70"/>
      <c r="G7" s="70"/>
      <c r="H7" s="70"/>
      <c r="I7" s="92" t="s">
        <v>267</v>
      </c>
      <c r="J7" s="92" t="s">
        <v>268</v>
      </c>
      <c r="K7" s="92" t="s">
        <v>251</v>
      </c>
      <c r="L7" s="70"/>
      <c r="M7" s="92" t="s">
        <v>269</v>
      </c>
      <c r="N7" s="70"/>
      <c r="O7" s="92" t="s">
        <v>264</v>
      </c>
      <c r="P7" s="70"/>
    </row>
    <row r="8" customFormat="false" ht="51.75" hidden="false" customHeight="true" outlineLevel="0" collapsed="false">
      <c r="A8" s="93" t="s">
        <v>270</v>
      </c>
      <c r="B8" s="94" t="n">
        <v>10000</v>
      </c>
      <c r="C8" s="64" t="s">
        <v>271</v>
      </c>
      <c r="D8" s="95" t="s">
        <v>272</v>
      </c>
      <c r="E8" s="96"/>
      <c r="F8" s="92" t="s">
        <v>273</v>
      </c>
      <c r="G8" s="92" t="s">
        <v>274</v>
      </c>
      <c r="H8" s="96"/>
      <c r="I8" s="92" t="s">
        <v>251</v>
      </c>
      <c r="J8" s="96"/>
      <c r="K8" s="92" t="s">
        <v>269</v>
      </c>
      <c r="L8" s="96"/>
      <c r="M8" s="92" t="s">
        <v>254</v>
      </c>
      <c r="N8" s="96"/>
      <c r="O8" s="92" t="s">
        <v>275</v>
      </c>
      <c r="P8" s="92" t="s">
        <v>276</v>
      </c>
    </row>
    <row r="9" customFormat="false" ht="51.75" hidden="false" customHeight="true" outlineLevel="0" collapsed="false">
      <c r="A9" s="90" t="s">
        <v>107</v>
      </c>
      <c r="B9" s="91" t="n">
        <v>25000</v>
      </c>
      <c r="C9" s="67" t="s">
        <v>257</v>
      </c>
      <c r="D9" s="24" t="s">
        <v>277</v>
      </c>
      <c r="E9" s="70"/>
      <c r="F9" s="70"/>
      <c r="G9" s="92" t="s">
        <v>278</v>
      </c>
      <c r="H9" s="92" t="s">
        <v>279</v>
      </c>
      <c r="I9" s="70"/>
      <c r="J9" s="92" t="s">
        <v>251</v>
      </c>
      <c r="K9" s="70"/>
      <c r="L9" s="92" t="s">
        <v>269</v>
      </c>
      <c r="M9" s="70"/>
      <c r="N9" s="70"/>
      <c r="O9" s="92" t="s">
        <v>280</v>
      </c>
      <c r="P9" s="92" t="s">
        <v>281</v>
      </c>
    </row>
    <row r="10" customFormat="false" ht="42" hidden="false" customHeight="true" outlineLevel="0" collapsed="false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customFormat="false" ht="42" hidden="false" customHeight="true" outlineLevel="0" collapsed="false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</row>
    <row r="12" customFormat="false" ht="42" hidden="false" customHeight="true" outlineLevel="0" collapsed="false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</row>
    <row r="13" customFormat="false" ht="42" hidden="false" customHeight="true" outlineLevel="0" collapsed="false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</row>
    <row r="14" customFormat="false" ht="42" hidden="false" customHeight="true" outlineLevel="0" collapsed="false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</row>
    <row r="15" customFormat="false" ht="42" hidden="false" customHeight="true" outlineLevel="0" collapsed="false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</row>
    <row r="16" customFormat="false" ht="42" hidden="false" customHeight="true" outlineLevel="0" collapsed="false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</row>
    <row r="17" customFormat="false" ht="42" hidden="false" customHeight="true" outlineLevel="0" collapsed="false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42" hidden="false" customHeight="true" outlineLevel="0" collapsed="false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</row>
    <row r="19" customFormat="false" ht="42" hidden="false" customHeight="true" outlineLevel="0" collapsed="false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</row>
    <row r="20" customFormat="false" ht="42" hidden="false" customHeight="true" outlineLevel="0" collapsed="false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</row>
    <row r="21" customFormat="false" ht="42" hidden="false" customHeight="true" outlineLevel="0" collapsed="false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</row>
    <row r="22" customFormat="false" ht="42" hidden="false" customHeight="true" outlineLevel="0" collapsed="false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</row>
    <row r="23" customFormat="false" ht="42" hidden="false" customHeight="true" outlineLevel="0" collapsed="false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</row>
    <row r="24" customFormat="false" ht="42" hidden="false" customHeight="true" outlineLevel="0" collapsed="false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customFormat="false" ht="42" hidden="false" customHeight="true" outlineLevel="0" collapsed="false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</row>
    <row r="26" customFormat="false" ht="42" hidden="false" customHeight="true" outlineLevel="0" collapsed="false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</row>
    <row r="27" customFormat="false" ht="42" hidden="false" customHeight="true" outlineLevel="0" collapsed="false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</row>
    <row r="28" customFormat="false" ht="42" hidden="false" customHeight="true" outlineLevel="0" collapsed="false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</row>
    <row r="29" customFormat="false" ht="42" hidden="false" customHeight="true" outlineLevel="0" collapsed="false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</row>
    <row r="30" customFormat="false" ht="42" hidden="false" customHeight="true" outlineLevel="0" collapsed="false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</row>
    <row r="31" customFormat="false" ht="42" hidden="false" customHeight="true" outlineLevel="0" collapsed="false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</row>
    <row r="32" customFormat="false" ht="42" hidden="false" customHeight="true" outlineLevel="0" collapsed="false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</row>
    <row r="33" customFormat="false" ht="42" hidden="false" customHeight="true" outlineLevel="0" collapsed="false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</row>
    <row r="34" customFormat="false" ht="42" hidden="false" customHeight="true" outlineLevel="0" collapsed="false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</row>
    <row r="35" customFormat="false" ht="42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</row>
    <row r="36" customFormat="false" ht="42" hidden="false" customHeight="true" outlineLevel="0" collapsed="false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</row>
    <row r="37" customFormat="false" ht="42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</row>
    <row r="38" customFormat="false" ht="42" hidden="false" customHeight="true" outlineLevel="0" collapsed="false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</row>
    <row r="39" customFormat="false" ht="42" hidden="false" customHeight="true" outlineLevel="0" collapsed="false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</row>
    <row r="40" customFormat="false" ht="42" hidden="false" customHeight="true" outlineLevel="0" collapsed="false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</row>
    <row r="41" customFormat="false" ht="42" hidden="false" customHeight="true" outlineLevel="0" collapsed="false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</row>
    <row r="42" customFormat="false" ht="42" hidden="false" customHeight="true" outlineLevel="0" collapsed="false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</row>
    <row r="43" customFormat="false" ht="42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</row>
    <row r="44" customFormat="false" ht="42" hidden="false" customHeight="true" outlineLevel="0" collapsed="false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</row>
    <row r="46" customFormat="false" ht="24" hidden="false" customHeight="true" outlineLevel="0" collapsed="false">
      <c r="A46" s="55" t="s">
        <v>282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</row>
    <row r="47" customFormat="false" ht="30" hidden="false" customHeight="true" outlineLevel="0" collapsed="false">
      <c r="A47" s="75" t="s">
        <v>283</v>
      </c>
      <c r="B47" s="76" t="s">
        <v>284</v>
      </c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</row>
    <row r="48" customFormat="false" ht="30" hidden="false" customHeight="true" outlineLevel="0" collapsed="false">
      <c r="A48" s="75" t="s">
        <v>285</v>
      </c>
      <c r="B48" s="97" t="s">
        <v>286</v>
      </c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</row>
    <row r="49" customFormat="false" ht="30" hidden="false" customHeight="true" outlineLevel="0" collapsed="false">
      <c r="A49" s="75" t="s">
        <v>287</v>
      </c>
      <c r="B49" s="76" t="s">
        <v>288</v>
      </c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</row>
    <row r="50" customFormat="false" ht="30" hidden="false" customHeight="true" outlineLevel="0" collapsed="false">
      <c r="A50" s="75" t="s">
        <v>289</v>
      </c>
      <c r="B50" s="97" t="s">
        <v>290</v>
      </c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</row>
    <row r="51" customFormat="false" ht="30" hidden="false" customHeight="true" outlineLevel="0" collapsed="false">
      <c r="A51" s="75" t="s">
        <v>291</v>
      </c>
      <c r="B51" s="76" t="s">
        <v>292</v>
      </c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</row>
    <row r="52" customFormat="false" ht="30" hidden="false" customHeight="true" outlineLevel="0" collapsed="false">
      <c r="A52" s="75" t="s">
        <v>293</v>
      </c>
      <c r="B52" s="97" t="s">
        <v>294</v>
      </c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</row>
    <row r="53" customFormat="false" ht="30" hidden="false" customHeight="true" outlineLevel="0" collapsed="false">
      <c r="A53" s="75" t="s">
        <v>295</v>
      </c>
      <c r="B53" s="76" t="s">
        <v>296</v>
      </c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</row>
    <row r="54" customFormat="false" ht="30" hidden="false" customHeight="true" outlineLevel="0" collapsed="false">
      <c r="A54" s="75" t="s">
        <v>297</v>
      </c>
      <c r="B54" s="97" t="s">
        <v>298</v>
      </c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</row>
    <row r="55" customFormat="false" ht="30" hidden="false" customHeight="true" outlineLevel="0" collapsed="false">
      <c r="A55" s="75" t="s">
        <v>299</v>
      </c>
      <c r="B55" s="76" t="s">
        <v>300</v>
      </c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</row>
    <row r="56" customFormat="false" ht="30" hidden="false" customHeight="true" outlineLevel="0" collapsed="false">
      <c r="A56" s="75" t="s">
        <v>301</v>
      </c>
      <c r="B56" s="97" t="s">
        <v>302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</row>
    <row r="57" customFormat="false" ht="30" hidden="false" customHeight="true" outlineLevel="0" collapsed="false">
      <c r="A57" s="75" t="s">
        <v>303</v>
      </c>
      <c r="B57" s="76" t="s">
        <v>304</v>
      </c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</row>
  </sheetData>
  <mergeCells count="15">
    <mergeCell ref="A1:P1"/>
    <mergeCell ref="A2:P2"/>
    <mergeCell ref="A3:P3"/>
    <mergeCell ref="A46:P46"/>
    <mergeCell ref="B47:P47"/>
    <mergeCell ref="B48:P48"/>
    <mergeCell ref="B49:P49"/>
    <mergeCell ref="B50:P50"/>
    <mergeCell ref="B51:P51"/>
    <mergeCell ref="B52:P52"/>
    <mergeCell ref="B53:P53"/>
    <mergeCell ref="B54:P54"/>
    <mergeCell ref="B55:P55"/>
    <mergeCell ref="B56:P56"/>
    <mergeCell ref="B57:P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36" hidden="false" customHeight="true" outlineLevel="0" collapsed="false">
      <c r="A1" s="59" t="s">
        <v>305</v>
      </c>
      <c r="B1" s="59"/>
      <c r="C1" s="59"/>
      <c r="D1" s="59"/>
      <c r="E1" s="59"/>
    </row>
    <row r="2" customFormat="false" ht="21.75" hidden="false" customHeight="true" outlineLevel="0" collapsed="false">
      <c r="A2" s="98" t="s">
        <v>306</v>
      </c>
      <c r="B2" s="98"/>
      <c r="C2" s="98"/>
      <c r="D2" s="98"/>
      <c r="E2" s="98"/>
    </row>
    <row r="3" customFormat="false" ht="36" hidden="false" customHeight="true" outlineLevel="0" collapsed="false">
      <c r="A3" s="6" t="s">
        <v>307</v>
      </c>
      <c r="B3" s="6"/>
      <c r="C3" s="6"/>
      <c r="D3" s="6"/>
      <c r="E3" s="6"/>
    </row>
    <row r="4" customFormat="false" ht="24" hidden="false" customHeight="true" outlineLevel="0" collapsed="false">
      <c r="A4" s="3" t="s">
        <v>308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309</v>
      </c>
      <c r="B5" s="5"/>
      <c r="C5" s="5"/>
      <c r="D5" s="4" t="s">
        <v>310</v>
      </c>
      <c r="E5" s="5"/>
    </row>
    <row r="6" customFormat="false" ht="15" hidden="false" customHeight="false" outlineLevel="0" collapsed="false">
      <c r="A6" s="4" t="s">
        <v>311</v>
      </c>
      <c r="B6" s="5"/>
      <c r="C6" s="5"/>
      <c r="D6" s="4" t="s">
        <v>312</v>
      </c>
      <c r="E6" s="5"/>
    </row>
    <row r="7" customFormat="false" ht="12" hidden="false" customHeight="true" outlineLevel="0" collapsed="false"/>
    <row r="8" customFormat="false" ht="24" hidden="false" customHeight="true" outlineLevel="0" collapsed="false">
      <c r="A8" s="3" t="s">
        <v>313</v>
      </c>
      <c r="B8" s="3"/>
      <c r="C8" s="3"/>
      <c r="D8" s="3"/>
      <c r="E8" s="3"/>
    </row>
    <row r="9" customFormat="false" ht="27.75" hidden="false" customHeight="true" outlineLevel="0" collapsed="false">
      <c r="A9" s="7" t="s">
        <v>314</v>
      </c>
      <c r="B9" s="7" t="s">
        <v>315</v>
      </c>
      <c r="C9" s="7" t="s">
        <v>316</v>
      </c>
      <c r="D9" s="7"/>
      <c r="E9" s="7"/>
    </row>
    <row r="10" customFormat="false" ht="33.75" hidden="false" customHeight="true" outlineLevel="0" collapsed="false">
      <c r="A10" s="99" t="s">
        <v>317</v>
      </c>
      <c r="B10" s="100"/>
      <c r="C10" s="101"/>
      <c r="D10" s="101"/>
      <c r="E10" s="101"/>
    </row>
    <row r="11" customFormat="false" ht="33.75" hidden="false" customHeight="true" outlineLevel="0" collapsed="false">
      <c r="A11" s="102" t="s">
        <v>318</v>
      </c>
      <c r="B11" s="9"/>
      <c r="C11" s="103"/>
      <c r="D11" s="103"/>
      <c r="E11" s="103"/>
    </row>
    <row r="12" customFormat="false" ht="33.75" hidden="false" customHeight="true" outlineLevel="0" collapsed="false">
      <c r="A12" s="99" t="s">
        <v>319</v>
      </c>
      <c r="B12" s="100"/>
      <c r="C12" s="101"/>
      <c r="D12" s="101"/>
      <c r="E12" s="101"/>
    </row>
    <row r="13" customFormat="false" ht="33.75" hidden="false" customHeight="true" outlineLevel="0" collapsed="false">
      <c r="A13" s="102" t="s">
        <v>320</v>
      </c>
      <c r="B13" s="9"/>
      <c r="C13" s="103"/>
      <c r="D13" s="103"/>
      <c r="E13" s="103"/>
    </row>
    <row r="14" customFormat="false" ht="33.75" hidden="false" customHeight="true" outlineLevel="0" collapsed="false">
      <c r="A14" s="99" t="s">
        <v>321</v>
      </c>
      <c r="B14" s="100"/>
      <c r="C14" s="101"/>
      <c r="D14" s="101"/>
      <c r="E14" s="101"/>
    </row>
    <row r="15" customFormat="false" ht="33.75" hidden="false" customHeight="true" outlineLevel="0" collapsed="false">
      <c r="A15" s="102" t="s">
        <v>322</v>
      </c>
      <c r="B15" s="9"/>
      <c r="C15" s="103"/>
      <c r="D15" s="103"/>
      <c r="E15" s="103"/>
    </row>
    <row r="16" customFormat="false" ht="33.75" hidden="false" customHeight="true" outlineLevel="0" collapsed="false">
      <c r="A16" s="99" t="s">
        <v>323</v>
      </c>
      <c r="B16" s="100"/>
      <c r="C16" s="101"/>
      <c r="D16" s="101"/>
      <c r="E16" s="101"/>
    </row>
    <row r="18" customFormat="false" ht="24" hidden="false" customHeight="true" outlineLevel="0" collapsed="false">
      <c r="A18" s="3" t="s">
        <v>324</v>
      </c>
      <c r="B18" s="3"/>
      <c r="C18" s="3"/>
      <c r="D18" s="3"/>
      <c r="E18" s="3"/>
    </row>
    <row r="19" customFormat="false" ht="27.75" hidden="false" customHeight="true" outlineLevel="0" collapsed="false">
      <c r="A19" s="7" t="s">
        <v>314</v>
      </c>
      <c r="B19" s="7" t="s">
        <v>315</v>
      </c>
      <c r="C19" s="7" t="s">
        <v>316</v>
      </c>
      <c r="D19" s="7"/>
      <c r="E19" s="7"/>
    </row>
    <row r="20" customFormat="false" ht="33.75" hidden="false" customHeight="true" outlineLevel="0" collapsed="false">
      <c r="A20" s="99" t="s">
        <v>325</v>
      </c>
      <c r="B20" s="100"/>
      <c r="C20" s="101"/>
      <c r="D20" s="101"/>
      <c r="E20" s="101"/>
    </row>
    <row r="21" customFormat="false" ht="33.75" hidden="false" customHeight="true" outlineLevel="0" collapsed="false">
      <c r="A21" s="102" t="s">
        <v>326</v>
      </c>
      <c r="B21" s="9"/>
      <c r="C21" s="103"/>
      <c r="D21" s="103"/>
      <c r="E21" s="103"/>
    </row>
    <row r="22" customFormat="false" ht="33.75" hidden="false" customHeight="true" outlineLevel="0" collapsed="false">
      <c r="A22" s="99" t="s">
        <v>327</v>
      </c>
      <c r="B22" s="100"/>
      <c r="C22" s="101"/>
      <c r="D22" s="101"/>
      <c r="E22" s="101"/>
    </row>
    <row r="23" customFormat="false" ht="33.75" hidden="false" customHeight="true" outlineLevel="0" collapsed="false">
      <c r="A23" s="102" t="s">
        <v>328</v>
      </c>
      <c r="B23" s="9"/>
      <c r="C23" s="103"/>
      <c r="D23" s="103"/>
      <c r="E23" s="103"/>
    </row>
    <row r="24" customFormat="false" ht="33.75" hidden="false" customHeight="true" outlineLevel="0" collapsed="false">
      <c r="A24" s="99" t="s">
        <v>329</v>
      </c>
      <c r="B24" s="100"/>
      <c r="C24" s="101"/>
      <c r="D24" s="101"/>
      <c r="E24" s="101"/>
    </row>
    <row r="26" customFormat="false" ht="24" hidden="false" customHeight="true" outlineLevel="0" collapsed="false">
      <c r="A26" s="3" t="s">
        <v>330</v>
      </c>
      <c r="B26" s="3"/>
      <c r="C26" s="3"/>
      <c r="D26" s="3"/>
      <c r="E26" s="3"/>
    </row>
    <row r="27" customFormat="false" ht="27.75" hidden="false" customHeight="true" outlineLevel="0" collapsed="false">
      <c r="A27" s="7" t="s">
        <v>314</v>
      </c>
      <c r="B27" s="7" t="s">
        <v>315</v>
      </c>
      <c r="C27" s="7" t="s">
        <v>316</v>
      </c>
      <c r="D27" s="7"/>
      <c r="E27" s="7"/>
    </row>
    <row r="28" customFormat="false" ht="33.75" hidden="false" customHeight="true" outlineLevel="0" collapsed="false">
      <c r="A28" s="99" t="s">
        <v>331</v>
      </c>
      <c r="B28" s="100"/>
      <c r="C28" s="101"/>
      <c r="D28" s="101"/>
      <c r="E28" s="101"/>
    </row>
    <row r="29" customFormat="false" ht="33.75" hidden="false" customHeight="true" outlineLevel="0" collapsed="false">
      <c r="A29" s="102" t="s">
        <v>332</v>
      </c>
      <c r="B29" s="9"/>
      <c r="C29" s="103"/>
      <c r="D29" s="103"/>
      <c r="E29" s="103"/>
    </row>
    <row r="30" customFormat="false" ht="33.75" hidden="false" customHeight="true" outlineLevel="0" collapsed="false">
      <c r="A30" s="99" t="s">
        <v>333</v>
      </c>
      <c r="B30" s="100"/>
      <c r="C30" s="101"/>
      <c r="D30" s="101"/>
      <c r="E30" s="101"/>
    </row>
    <row r="31" customFormat="false" ht="33.75" hidden="false" customHeight="true" outlineLevel="0" collapsed="false">
      <c r="A31" s="102" t="s">
        <v>334</v>
      </c>
      <c r="B31" s="9"/>
      <c r="C31" s="103"/>
      <c r="D31" s="103"/>
      <c r="E31" s="103"/>
    </row>
    <row r="33" customFormat="false" ht="24" hidden="false" customHeight="true" outlineLevel="0" collapsed="false">
      <c r="A33" s="3" t="s">
        <v>335</v>
      </c>
      <c r="B33" s="3"/>
      <c r="C33" s="3"/>
      <c r="D33" s="3"/>
      <c r="E33" s="3"/>
    </row>
    <row r="34" customFormat="false" ht="27.75" hidden="false" customHeight="true" outlineLevel="0" collapsed="false">
      <c r="A34" s="7" t="s">
        <v>314</v>
      </c>
      <c r="B34" s="7" t="s">
        <v>315</v>
      </c>
      <c r="C34" s="7" t="s">
        <v>316</v>
      </c>
      <c r="D34" s="7"/>
      <c r="E34" s="7"/>
    </row>
    <row r="35" customFormat="false" ht="33.75" hidden="false" customHeight="true" outlineLevel="0" collapsed="false">
      <c r="A35" s="99" t="s">
        <v>336</v>
      </c>
      <c r="B35" s="100"/>
      <c r="C35" s="101"/>
      <c r="D35" s="101"/>
      <c r="E35" s="101"/>
    </row>
    <row r="36" customFormat="false" ht="33.75" hidden="false" customHeight="true" outlineLevel="0" collapsed="false">
      <c r="A36" s="102" t="s">
        <v>337</v>
      </c>
      <c r="B36" s="9"/>
      <c r="C36" s="103"/>
      <c r="D36" s="103"/>
      <c r="E36" s="103"/>
    </row>
    <row r="37" customFormat="false" ht="33.75" hidden="false" customHeight="true" outlineLevel="0" collapsed="false">
      <c r="A37" s="99" t="s">
        <v>338</v>
      </c>
      <c r="B37" s="100"/>
      <c r="C37" s="101"/>
      <c r="D37" s="101"/>
      <c r="E37" s="101"/>
    </row>
    <row r="38" customFormat="false" ht="33.75" hidden="false" customHeight="true" outlineLevel="0" collapsed="false">
      <c r="A38" s="102" t="s">
        <v>339</v>
      </c>
      <c r="B38" s="9"/>
      <c r="C38" s="103"/>
      <c r="D38" s="103"/>
      <c r="E38" s="103"/>
    </row>
    <row r="40" customFormat="false" ht="24" hidden="false" customHeight="true" outlineLevel="0" collapsed="false">
      <c r="A40" s="3" t="s">
        <v>340</v>
      </c>
      <c r="B40" s="3"/>
      <c r="C40" s="3"/>
      <c r="D40" s="3"/>
      <c r="E40" s="3"/>
    </row>
    <row r="41" customFormat="false" ht="25.5" hidden="false" customHeight="true" outlineLevel="0" collapsed="false">
      <c r="A41" s="104" t="s">
        <v>341</v>
      </c>
      <c r="B41" s="104" t="s">
        <v>342</v>
      </c>
      <c r="C41" s="104" t="s">
        <v>343</v>
      </c>
      <c r="D41" s="104" t="s">
        <v>15</v>
      </c>
      <c r="E41" s="104"/>
    </row>
    <row r="42" customFormat="false" ht="30" hidden="false" customHeight="true" outlineLevel="0" collapsed="false">
      <c r="A42" s="105" t="s">
        <v>344</v>
      </c>
      <c r="B42" s="106"/>
      <c r="C42" s="106"/>
      <c r="D42" s="106"/>
      <c r="E42" s="106"/>
    </row>
    <row r="43" customFormat="false" ht="30" hidden="false" customHeight="true" outlineLevel="0" collapsed="false">
      <c r="A43" s="107" t="s">
        <v>345</v>
      </c>
      <c r="B43" s="71"/>
      <c r="C43" s="71"/>
      <c r="D43" s="71"/>
      <c r="E43" s="71"/>
    </row>
    <row r="44" customFormat="false" ht="30" hidden="false" customHeight="true" outlineLevel="0" collapsed="false">
      <c r="A44" s="105" t="s">
        <v>346</v>
      </c>
      <c r="B44" s="106"/>
      <c r="C44" s="106"/>
      <c r="D44" s="106"/>
      <c r="E44" s="106"/>
    </row>
    <row r="45" customFormat="false" ht="30" hidden="false" customHeight="true" outlineLevel="0" collapsed="false">
      <c r="A45" s="107" t="s">
        <v>347</v>
      </c>
      <c r="B45" s="71"/>
      <c r="C45" s="71"/>
      <c r="D45" s="71"/>
      <c r="E45" s="71"/>
    </row>
    <row r="46" customFormat="false" ht="30" hidden="false" customHeight="true" outlineLevel="0" collapsed="false">
      <c r="A46" s="105" t="s">
        <v>348</v>
      </c>
      <c r="B46" s="106"/>
      <c r="C46" s="106"/>
      <c r="D46" s="106"/>
      <c r="E46" s="106"/>
    </row>
    <row r="47" customFormat="false" ht="30" hidden="false" customHeight="true" outlineLevel="0" collapsed="false">
      <c r="A47" s="107" t="s">
        <v>349</v>
      </c>
      <c r="B47" s="71"/>
      <c r="C47" s="71"/>
      <c r="D47" s="71"/>
      <c r="E47" s="71"/>
    </row>
  </sheetData>
  <mergeCells count="35">
    <mergeCell ref="A1:E1"/>
    <mergeCell ref="A2:E2"/>
    <mergeCell ref="A3:E3"/>
    <mergeCell ref="A4:E4"/>
    <mergeCell ref="B5:C5"/>
    <mergeCell ref="B6:C6"/>
    <mergeCell ref="A8:E8"/>
    <mergeCell ref="C9:E9"/>
    <mergeCell ref="C10:E10"/>
    <mergeCell ref="C11:E11"/>
    <mergeCell ref="C12:E12"/>
    <mergeCell ref="C13:E13"/>
    <mergeCell ref="C14:E14"/>
    <mergeCell ref="C15:E15"/>
    <mergeCell ref="C16:E16"/>
    <mergeCell ref="A18:E18"/>
    <mergeCell ref="C19:E19"/>
    <mergeCell ref="C20:E20"/>
    <mergeCell ref="C21:E21"/>
    <mergeCell ref="C22:E22"/>
    <mergeCell ref="C23:E23"/>
    <mergeCell ref="C24:E24"/>
    <mergeCell ref="A26:E26"/>
    <mergeCell ref="C27:E27"/>
    <mergeCell ref="C28:E28"/>
    <mergeCell ref="C29:E29"/>
    <mergeCell ref="C30:E30"/>
    <mergeCell ref="C31:E31"/>
    <mergeCell ref="A33:E33"/>
    <mergeCell ref="C34:E34"/>
    <mergeCell ref="C35:E35"/>
    <mergeCell ref="C36:E36"/>
    <mergeCell ref="C37:E37"/>
    <mergeCell ref="C38:E38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36" hidden="false" customHeight="true" outlineLevel="0" collapsed="false">
      <c r="A1" s="33" t="s">
        <v>350</v>
      </c>
      <c r="B1" s="33"/>
      <c r="C1" s="33"/>
      <c r="D1" s="33"/>
      <c r="E1" s="33"/>
      <c r="F1" s="33"/>
      <c r="G1" s="33"/>
    </row>
    <row r="2" customFormat="false" ht="21.75" hidden="false" customHeight="true" outlineLevel="0" collapsed="false">
      <c r="A2" s="108" t="s">
        <v>351</v>
      </c>
      <c r="B2" s="108"/>
      <c r="C2" s="108"/>
      <c r="D2" s="108"/>
      <c r="E2" s="108"/>
      <c r="F2" s="108"/>
      <c r="G2" s="108"/>
    </row>
    <row r="3" customFormat="false" ht="36" hidden="false" customHeight="true" outlineLevel="0" collapsed="false">
      <c r="A3" s="6" t="s">
        <v>352</v>
      </c>
      <c r="B3" s="6"/>
      <c r="C3" s="6"/>
      <c r="D3" s="6"/>
      <c r="E3" s="6"/>
      <c r="F3" s="6"/>
      <c r="G3" s="6"/>
    </row>
    <row r="4" customFormat="false" ht="24" hidden="false" customHeight="true" outlineLevel="0" collapsed="false">
      <c r="A4" s="3" t="s">
        <v>353</v>
      </c>
      <c r="B4" s="3"/>
      <c r="C4" s="3"/>
      <c r="D4" s="3"/>
      <c r="E4" s="3"/>
      <c r="F4" s="3"/>
      <c r="G4" s="3"/>
    </row>
    <row r="5" customFormat="false" ht="24" hidden="false" customHeight="true" outlineLevel="0" collapsed="false">
      <c r="A5" s="90" t="s">
        <v>354</v>
      </c>
      <c r="B5" s="109"/>
      <c r="C5" s="110"/>
      <c r="D5" s="110"/>
      <c r="E5" s="110"/>
      <c r="F5" s="111" t="s">
        <v>355</v>
      </c>
      <c r="G5" s="111"/>
    </row>
    <row r="6" customFormat="false" ht="24" hidden="false" customHeight="true" outlineLevel="0" collapsed="false">
      <c r="A6" s="93" t="s">
        <v>356</v>
      </c>
      <c r="B6" s="112"/>
      <c r="C6" s="110"/>
      <c r="D6" s="110"/>
      <c r="E6" s="110"/>
      <c r="F6" s="113" t="s">
        <v>357</v>
      </c>
      <c r="G6" s="113"/>
    </row>
    <row r="7" customFormat="false" ht="24" hidden="false" customHeight="true" outlineLevel="0" collapsed="false">
      <c r="A7" s="90" t="s">
        <v>358</v>
      </c>
      <c r="B7" s="114"/>
      <c r="C7" s="110"/>
      <c r="D7" s="110"/>
      <c r="E7" s="110"/>
      <c r="F7" s="111" t="s">
        <v>359</v>
      </c>
      <c r="G7" s="111"/>
    </row>
    <row r="8" customFormat="false" ht="24" hidden="false" customHeight="true" outlineLevel="0" collapsed="false">
      <c r="A8" s="93" t="s">
        <v>360</v>
      </c>
      <c r="B8" s="115" t="n">
        <f aca="false">COUNTIF(C9:C208,"&gt;="&amp;B6)</f>
        <v>1</v>
      </c>
      <c r="C8" s="110"/>
      <c r="D8" s="110"/>
      <c r="E8" s="110"/>
      <c r="F8" s="113" t="s">
        <v>361</v>
      </c>
      <c r="G8" s="113"/>
    </row>
    <row r="9" customFormat="false" ht="24" hidden="false" customHeight="true" outlineLevel="0" collapsed="false">
      <c r="A9" s="90" t="s">
        <v>362</v>
      </c>
      <c r="B9" s="116" t="n">
        <f aca="false">SUMIF(C9:C208,"&gt;="&amp;B6,C9:C208)</f>
        <v>0</v>
      </c>
      <c r="C9" s="110"/>
      <c r="D9" s="110"/>
      <c r="E9" s="110"/>
      <c r="F9" s="111" t="s">
        <v>361</v>
      </c>
      <c r="G9" s="111"/>
    </row>
    <row r="10" customFormat="false" ht="24" hidden="false" customHeight="true" outlineLevel="0" collapsed="false">
      <c r="A10" s="93" t="s">
        <v>363</v>
      </c>
      <c r="B10" s="117" t="str">
        <f aca="false">IF(B5=0,"-",B8/B5)</f>
        <v>-</v>
      </c>
      <c r="C10" s="110"/>
      <c r="D10" s="110"/>
      <c r="E10" s="110"/>
      <c r="F10" s="113" t="s">
        <v>364</v>
      </c>
      <c r="G10" s="113"/>
    </row>
    <row r="11" customFormat="false" ht="24" hidden="false" customHeight="true" outlineLevel="0" collapsed="false">
      <c r="A11" s="90" t="s">
        <v>365</v>
      </c>
      <c r="B11" s="118" t="str">
        <f aca="false">IF(B4=0,"-",B7/B4)</f>
        <v>-</v>
      </c>
      <c r="C11" s="110"/>
      <c r="D11" s="110"/>
      <c r="E11" s="110"/>
      <c r="F11" s="111" t="s">
        <v>364</v>
      </c>
      <c r="G11" s="111"/>
    </row>
    <row r="12" customFormat="false" ht="24" hidden="false" customHeight="true" outlineLevel="0" collapsed="false">
      <c r="A12" s="93" t="s">
        <v>366</v>
      </c>
      <c r="B12" s="119" t="n">
        <f aca="false">SUM(C9:C18)</f>
        <v>85000</v>
      </c>
      <c r="C12" s="110"/>
      <c r="D12" s="110"/>
      <c r="E12" s="110"/>
      <c r="F12" s="113" t="s">
        <v>367</v>
      </c>
      <c r="G12" s="113"/>
    </row>
    <row r="13" customFormat="false" ht="24" hidden="false" customHeight="true" outlineLevel="0" collapsed="false">
      <c r="A13" s="90" t="s">
        <v>368</v>
      </c>
      <c r="B13" s="118" t="str">
        <f aca="false">IF(B5=0,"-",B12/B5)</f>
        <v>-</v>
      </c>
      <c r="C13" s="110"/>
      <c r="D13" s="110"/>
      <c r="E13" s="110"/>
      <c r="F13" s="111" t="s">
        <v>364</v>
      </c>
      <c r="G13" s="111"/>
    </row>
    <row r="14" customFormat="false" ht="9.75" hidden="false" customHeight="true" outlineLevel="0" collapsed="false"/>
    <row r="15" customFormat="false" ht="24" hidden="false" customHeight="true" outlineLevel="0" collapsed="false">
      <c r="A15" s="3" t="s">
        <v>369</v>
      </c>
      <c r="B15" s="3"/>
      <c r="C15" s="3"/>
      <c r="D15" s="3"/>
      <c r="E15" s="3"/>
      <c r="F15" s="3"/>
      <c r="G15" s="3"/>
    </row>
    <row r="16" customFormat="false" ht="42" hidden="false" customHeight="true" outlineLevel="0" collapsed="false">
      <c r="A16" s="7" t="s">
        <v>370</v>
      </c>
      <c r="B16" s="7" t="s">
        <v>371</v>
      </c>
      <c r="C16" s="7" t="s">
        <v>372</v>
      </c>
      <c r="D16" s="7" t="s">
        <v>373</v>
      </c>
      <c r="E16" s="7" t="s">
        <v>374</v>
      </c>
      <c r="F16" s="7" t="s">
        <v>375</v>
      </c>
      <c r="G16" s="7" t="s">
        <v>376</v>
      </c>
    </row>
    <row r="17" customFormat="false" ht="27.75" hidden="false" customHeight="true" outlineLevel="0" collapsed="false">
      <c r="A17" s="120" t="s">
        <v>163</v>
      </c>
      <c r="B17" s="43" t="s">
        <v>85</v>
      </c>
      <c r="C17" s="45" t="n">
        <v>75000</v>
      </c>
      <c r="D17" s="121" t="n">
        <f aca="false">SUM($C$17:C17)</f>
        <v>75000</v>
      </c>
      <c r="E17" s="122" t="str">
        <f aca="false">IF($B$5=0,"-",D17/$B$5)</f>
        <v>-</v>
      </c>
      <c r="F17" s="64" t="s">
        <v>377</v>
      </c>
      <c r="G17" s="95" t="s">
        <v>378</v>
      </c>
    </row>
    <row r="18" customFormat="false" ht="27.75" hidden="false" customHeight="true" outlineLevel="0" collapsed="false">
      <c r="A18" s="123" t="s">
        <v>379</v>
      </c>
      <c r="B18" s="43" t="s">
        <v>85</v>
      </c>
      <c r="C18" s="49" t="n">
        <v>10000</v>
      </c>
      <c r="D18" s="124" t="n">
        <f aca="false">SUM($C$17:C18)</f>
        <v>85000</v>
      </c>
      <c r="E18" s="125" t="str">
        <f aca="false">IF($B$5=0,"-",D18/$B$5)</f>
        <v>-</v>
      </c>
      <c r="F18" s="67" t="s">
        <v>380</v>
      </c>
      <c r="G18" s="24" t="s">
        <v>381</v>
      </c>
    </row>
    <row r="19" customFormat="false" ht="27.75" hidden="false" customHeight="true" outlineLevel="0" collapsed="false">
      <c r="A19" s="120" t="s">
        <v>92</v>
      </c>
      <c r="B19" s="43" t="s">
        <v>85</v>
      </c>
      <c r="C19" s="71"/>
      <c r="D19" s="121" t="n">
        <f aca="false">SUM($C$17:C19)</f>
        <v>85000</v>
      </c>
      <c r="E19" s="122" t="str">
        <f aca="false">IF($B$5=0,"-",D19/$B$5)</f>
        <v>-</v>
      </c>
      <c r="F19" s="64" t="s">
        <v>377</v>
      </c>
      <c r="G19" s="95" t="s">
        <v>382</v>
      </c>
    </row>
    <row r="20" customFormat="false" ht="27.75" hidden="false" customHeight="true" outlineLevel="0" collapsed="false">
      <c r="A20" s="123" t="s">
        <v>84</v>
      </c>
      <c r="B20" s="43" t="s">
        <v>85</v>
      </c>
      <c r="C20" s="53"/>
      <c r="D20" s="124" t="n">
        <f aca="false">SUM($C$17:C20)</f>
        <v>85000</v>
      </c>
      <c r="E20" s="125" t="str">
        <f aca="false">IF($B$5=0,"-",D20/$B$5)</f>
        <v>-</v>
      </c>
      <c r="F20" s="67" t="s">
        <v>377</v>
      </c>
      <c r="G20" s="24" t="s">
        <v>383</v>
      </c>
    </row>
    <row r="21" customFormat="false" ht="27.75" hidden="false" customHeight="true" outlineLevel="0" collapsed="false">
      <c r="A21" s="120" t="s">
        <v>384</v>
      </c>
      <c r="B21" s="50" t="s">
        <v>100</v>
      </c>
      <c r="C21" s="71"/>
      <c r="D21" s="121" t="n">
        <f aca="false">SUM($C$17:C21)</f>
        <v>85000</v>
      </c>
      <c r="E21" s="122" t="str">
        <f aca="false">IF($B$5=0,"-",D21/$B$5)</f>
        <v>-</v>
      </c>
      <c r="F21" s="64" t="s">
        <v>377</v>
      </c>
      <c r="G21" s="95" t="s">
        <v>385</v>
      </c>
    </row>
    <row r="22" customFormat="false" ht="27.75" hidden="false" customHeight="true" outlineLevel="0" collapsed="false">
      <c r="A22" s="123" t="s">
        <v>386</v>
      </c>
      <c r="B22" s="126" t="s">
        <v>387</v>
      </c>
      <c r="C22" s="49" t="n">
        <v>2500</v>
      </c>
      <c r="D22" s="124" t="n">
        <f aca="false">SUM($C$17:C22)</f>
        <v>87500</v>
      </c>
      <c r="E22" s="125" t="str">
        <f aca="false">IF($B$5=0,"-",D22/$B$5)</f>
        <v>-</v>
      </c>
      <c r="F22" s="67" t="s">
        <v>388</v>
      </c>
      <c r="G22" s="24" t="s">
        <v>389</v>
      </c>
    </row>
    <row r="23" customFormat="false" ht="27.75" hidden="false" customHeight="true" outlineLevel="0" collapsed="false">
      <c r="A23" s="120" t="s">
        <v>390</v>
      </c>
      <c r="B23" s="127" t="s">
        <v>387</v>
      </c>
      <c r="C23" s="45" t="n">
        <v>1500</v>
      </c>
      <c r="D23" s="121" t="n">
        <f aca="false">SUM($C$17:C23)</f>
        <v>89000</v>
      </c>
      <c r="E23" s="122" t="str">
        <f aca="false">IF($B$5=0,"-",D23/$B$5)</f>
        <v>-</v>
      </c>
      <c r="F23" s="64" t="s">
        <v>391</v>
      </c>
      <c r="G23" s="95" t="s">
        <v>392</v>
      </c>
    </row>
    <row r="24" customFormat="false" ht="27.75" hidden="false" customHeight="true" outlineLevel="0" collapsed="false">
      <c r="A24" s="123" t="s">
        <v>393</v>
      </c>
      <c r="B24" s="126" t="s">
        <v>387</v>
      </c>
      <c r="C24" s="53"/>
      <c r="D24" s="124" t="n">
        <f aca="false">SUM($C$17:C24)</f>
        <v>89000</v>
      </c>
      <c r="E24" s="125" t="str">
        <f aca="false">IF($B$5=0,"-",D24/$B$5)</f>
        <v>-</v>
      </c>
      <c r="F24" s="67" t="s">
        <v>377</v>
      </c>
      <c r="G24" s="24" t="s">
        <v>394</v>
      </c>
    </row>
    <row r="25" customFormat="false" ht="27.75" hidden="false" customHeight="true" outlineLevel="0" collapsed="false">
      <c r="A25" s="120" t="s">
        <v>395</v>
      </c>
      <c r="B25" s="127" t="s">
        <v>396</v>
      </c>
      <c r="C25" s="45" t="n">
        <v>750</v>
      </c>
      <c r="D25" s="121" t="n">
        <f aca="false">SUM($C$17:C25)</f>
        <v>89750</v>
      </c>
      <c r="E25" s="122" t="str">
        <f aca="false">IF($B$5=0,"-",D25/$B$5)</f>
        <v>-</v>
      </c>
      <c r="F25" s="64" t="s">
        <v>388</v>
      </c>
      <c r="G25" s="95" t="s">
        <v>397</v>
      </c>
    </row>
    <row r="26" customFormat="false" ht="27.75" hidden="false" customHeight="true" outlineLevel="0" collapsed="false">
      <c r="A26" s="123" t="s">
        <v>398</v>
      </c>
      <c r="B26" s="126" t="s">
        <v>396</v>
      </c>
      <c r="C26" s="49" t="n">
        <v>500</v>
      </c>
      <c r="D26" s="124" t="n">
        <f aca="false">SUM($C$17:C26)</f>
        <v>90250</v>
      </c>
      <c r="E26" s="125" t="str">
        <f aca="false">IF($B$5=0,"-",D26/$B$5)</f>
        <v>-</v>
      </c>
      <c r="F26" s="67" t="s">
        <v>377</v>
      </c>
      <c r="G26" s="24" t="s">
        <v>399</v>
      </c>
    </row>
    <row r="27" customFormat="false" ht="21.75" hidden="false" customHeight="true" outlineLevel="0" collapsed="false">
      <c r="A27" s="54"/>
      <c r="B27" s="54"/>
      <c r="C27" s="54"/>
      <c r="D27" s="128" t="n">
        <f aca="false">SUM($C$17:C27)</f>
        <v>90250</v>
      </c>
      <c r="E27" s="129" t="str">
        <f aca="false">IF($B$5=0,"-",D27/$B$5)</f>
        <v>-</v>
      </c>
      <c r="F27" s="54"/>
      <c r="G27" s="54"/>
    </row>
    <row r="28" customFormat="false" ht="21.75" hidden="false" customHeight="true" outlineLevel="0" collapsed="false">
      <c r="A28" s="53"/>
      <c r="B28" s="53"/>
      <c r="C28" s="53"/>
      <c r="D28" s="124" t="n">
        <f aca="false">SUM($C$17:C28)</f>
        <v>90250</v>
      </c>
      <c r="E28" s="125" t="str">
        <f aca="false">IF($B$5=0,"-",D28/$B$5)</f>
        <v>-</v>
      </c>
      <c r="F28" s="53"/>
      <c r="G28" s="53"/>
    </row>
    <row r="29" customFormat="false" ht="21.75" hidden="false" customHeight="true" outlineLevel="0" collapsed="false">
      <c r="A29" s="54"/>
      <c r="B29" s="54"/>
      <c r="C29" s="54"/>
      <c r="D29" s="128" t="n">
        <f aca="false">SUM($C$17:C29)</f>
        <v>90250</v>
      </c>
      <c r="E29" s="129" t="str">
        <f aca="false">IF($B$5=0,"-",D29/$B$5)</f>
        <v>-</v>
      </c>
      <c r="F29" s="54"/>
      <c r="G29" s="54"/>
    </row>
    <row r="30" customFormat="false" ht="21.75" hidden="false" customHeight="true" outlineLevel="0" collapsed="false">
      <c r="A30" s="53"/>
      <c r="B30" s="53"/>
      <c r="C30" s="53"/>
      <c r="D30" s="124" t="n">
        <f aca="false">SUM($C$17:C30)</f>
        <v>90250</v>
      </c>
      <c r="E30" s="125" t="str">
        <f aca="false">IF($B$5=0,"-",D30/$B$5)</f>
        <v>-</v>
      </c>
      <c r="F30" s="53"/>
      <c r="G30" s="53"/>
    </row>
    <row r="31" customFormat="false" ht="21.75" hidden="false" customHeight="true" outlineLevel="0" collapsed="false">
      <c r="A31" s="54"/>
      <c r="B31" s="54"/>
      <c r="C31" s="54"/>
      <c r="D31" s="128" t="n">
        <f aca="false">SUM($C$17:C31)</f>
        <v>90250</v>
      </c>
      <c r="E31" s="129" t="str">
        <f aca="false">IF($B$5=0,"-",D31/$B$5)</f>
        <v>-</v>
      </c>
      <c r="F31" s="54"/>
      <c r="G31" s="54"/>
    </row>
    <row r="32" customFormat="false" ht="21.75" hidden="false" customHeight="true" outlineLevel="0" collapsed="false">
      <c r="A32" s="53"/>
      <c r="B32" s="53"/>
      <c r="C32" s="53"/>
      <c r="D32" s="124" t="n">
        <f aca="false">SUM($C$17:C32)</f>
        <v>90250</v>
      </c>
      <c r="E32" s="125" t="str">
        <f aca="false">IF($B$5=0,"-",D32/$B$5)</f>
        <v>-</v>
      </c>
      <c r="F32" s="53"/>
      <c r="G32" s="53"/>
    </row>
    <row r="33" customFormat="false" ht="21.75" hidden="false" customHeight="true" outlineLevel="0" collapsed="false">
      <c r="A33" s="54"/>
      <c r="B33" s="54"/>
      <c r="C33" s="54"/>
      <c r="D33" s="128" t="n">
        <f aca="false">SUM($C$17:C33)</f>
        <v>90250</v>
      </c>
      <c r="E33" s="129" t="str">
        <f aca="false">IF($B$5=0,"-",D33/$B$5)</f>
        <v>-</v>
      </c>
      <c r="F33" s="54"/>
      <c r="G33" s="54"/>
    </row>
    <row r="34" customFormat="false" ht="21.75" hidden="false" customHeight="true" outlineLevel="0" collapsed="false">
      <c r="A34" s="53"/>
      <c r="B34" s="53"/>
      <c r="C34" s="53"/>
      <c r="D34" s="124" t="n">
        <f aca="false">SUM($C$17:C34)</f>
        <v>90250</v>
      </c>
      <c r="E34" s="125" t="str">
        <f aca="false">IF($B$5=0,"-",D34/$B$5)</f>
        <v>-</v>
      </c>
      <c r="F34" s="53"/>
      <c r="G34" s="53"/>
    </row>
    <row r="35" customFormat="false" ht="21.75" hidden="false" customHeight="true" outlineLevel="0" collapsed="false">
      <c r="A35" s="54"/>
      <c r="B35" s="54"/>
      <c r="C35" s="54"/>
      <c r="D35" s="128" t="n">
        <f aca="false">SUM($C$17:C35)</f>
        <v>90250</v>
      </c>
      <c r="E35" s="129" t="str">
        <f aca="false">IF($B$5=0,"-",D35/$B$5)</f>
        <v>-</v>
      </c>
      <c r="F35" s="54"/>
      <c r="G35" s="54"/>
    </row>
    <row r="36" customFormat="false" ht="21.75" hidden="false" customHeight="true" outlineLevel="0" collapsed="false">
      <c r="A36" s="53"/>
      <c r="B36" s="53"/>
      <c r="C36" s="53"/>
      <c r="D36" s="124" t="n">
        <f aca="false">SUM($C$17:C36)</f>
        <v>90250</v>
      </c>
      <c r="E36" s="125" t="str">
        <f aca="false">IF($B$5=0,"-",D36/$B$5)</f>
        <v>-</v>
      </c>
      <c r="F36" s="53"/>
      <c r="G36" s="53"/>
    </row>
    <row r="37" customFormat="false" ht="21.75" hidden="false" customHeight="true" outlineLevel="0" collapsed="false">
      <c r="A37" s="54"/>
      <c r="B37" s="54"/>
      <c r="C37" s="54"/>
      <c r="D37" s="128" t="n">
        <f aca="false">SUM($C$17:C37)</f>
        <v>90250</v>
      </c>
      <c r="E37" s="129" t="str">
        <f aca="false">IF($B$5=0,"-",D37/$B$5)</f>
        <v>-</v>
      </c>
      <c r="F37" s="54"/>
      <c r="G37" s="54"/>
    </row>
    <row r="38" customFormat="false" ht="21.75" hidden="false" customHeight="true" outlineLevel="0" collapsed="false">
      <c r="A38" s="53"/>
      <c r="B38" s="53"/>
      <c r="C38" s="53"/>
      <c r="D38" s="124" t="n">
        <f aca="false">SUM($C$17:C38)</f>
        <v>90250</v>
      </c>
      <c r="E38" s="125" t="str">
        <f aca="false">IF($B$5=0,"-",D38/$B$5)</f>
        <v>-</v>
      </c>
      <c r="F38" s="53"/>
      <c r="G38" s="53"/>
    </row>
    <row r="39" customFormat="false" ht="21.75" hidden="false" customHeight="true" outlineLevel="0" collapsed="false">
      <c r="A39" s="54"/>
      <c r="B39" s="54"/>
      <c r="C39" s="54"/>
      <c r="D39" s="128" t="n">
        <f aca="false">SUM($C$17:C39)</f>
        <v>90250</v>
      </c>
      <c r="E39" s="129" t="str">
        <f aca="false">IF($B$5=0,"-",D39/$B$5)</f>
        <v>-</v>
      </c>
      <c r="F39" s="54"/>
      <c r="G39" s="54"/>
    </row>
    <row r="40" customFormat="false" ht="21.75" hidden="false" customHeight="true" outlineLevel="0" collapsed="false">
      <c r="A40" s="53"/>
      <c r="B40" s="53"/>
      <c r="C40" s="53"/>
      <c r="D40" s="124" t="n">
        <f aca="false">SUM($C$17:C40)</f>
        <v>90250</v>
      </c>
      <c r="E40" s="125" t="str">
        <f aca="false">IF($B$5=0,"-",D40/$B$5)</f>
        <v>-</v>
      </c>
      <c r="F40" s="53"/>
      <c r="G40" s="53"/>
    </row>
    <row r="41" customFormat="false" ht="21.75" hidden="false" customHeight="true" outlineLevel="0" collapsed="false">
      <c r="A41" s="54"/>
      <c r="B41" s="54"/>
      <c r="C41" s="54"/>
      <c r="D41" s="128" t="n">
        <f aca="false">SUM($C$17:C41)</f>
        <v>90250</v>
      </c>
      <c r="E41" s="129" t="str">
        <f aca="false">IF($B$5=0,"-",D41/$B$5)</f>
        <v>-</v>
      </c>
      <c r="F41" s="54"/>
      <c r="G41" s="54"/>
    </row>
    <row r="42" customFormat="false" ht="21.75" hidden="false" customHeight="true" outlineLevel="0" collapsed="false">
      <c r="A42" s="53"/>
      <c r="B42" s="53"/>
      <c r="C42" s="53"/>
      <c r="D42" s="124" t="n">
        <f aca="false">SUM($C$17:C42)</f>
        <v>90250</v>
      </c>
      <c r="E42" s="125" t="str">
        <f aca="false">IF($B$5=0,"-",D42/$B$5)</f>
        <v>-</v>
      </c>
      <c r="F42" s="53"/>
      <c r="G42" s="53"/>
    </row>
    <row r="43" customFormat="false" ht="21.75" hidden="false" customHeight="true" outlineLevel="0" collapsed="false">
      <c r="A43" s="54"/>
      <c r="B43" s="54"/>
      <c r="C43" s="54"/>
      <c r="D43" s="128" t="n">
        <f aca="false">SUM($C$17:C43)</f>
        <v>90250</v>
      </c>
      <c r="E43" s="129" t="str">
        <f aca="false">IF($B$5=0,"-",D43/$B$5)</f>
        <v>-</v>
      </c>
      <c r="F43" s="54"/>
      <c r="G43" s="54"/>
    </row>
    <row r="44" customFormat="false" ht="21.75" hidden="false" customHeight="true" outlineLevel="0" collapsed="false">
      <c r="A44" s="53"/>
      <c r="B44" s="53"/>
      <c r="C44" s="53"/>
      <c r="D44" s="124" t="n">
        <f aca="false">SUM($C$17:C44)</f>
        <v>90250</v>
      </c>
      <c r="E44" s="125" t="str">
        <f aca="false">IF($B$5=0,"-",D44/$B$5)</f>
        <v>-</v>
      </c>
      <c r="F44" s="53"/>
      <c r="G44" s="53"/>
    </row>
    <row r="45" customFormat="false" ht="21.75" hidden="false" customHeight="true" outlineLevel="0" collapsed="false">
      <c r="A45" s="54"/>
      <c r="B45" s="54"/>
      <c r="C45" s="54"/>
      <c r="D45" s="128" t="n">
        <f aca="false">SUM($C$17:C45)</f>
        <v>90250</v>
      </c>
      <c r="E45" s="129" t="str">
        <f aca="false">IF($B$5=0,"-",D45/$B$5)</f>
        <v>-</v>
      </c>
      <c r="F45" s="54"/>
      <c r="G45" s="54"/>
    </row>
    <row r="46" customFormat="false" ht="21.75" hidden="false" customHeight="true" outlineLevel="0" collapsed="false">
      <c r="A46" s="53"/>
      <c r="B46" s="53"/>
      <c r="C46" s="53"/>
      <c r="D46" s="124" t="n">
        <f aca="false">SUM($C$17:C46)</f>
        <v>90250</v>
      </c>
      <c r="E46" s="125" t="str">
        <f aca="false">IF($B$5=0,"-",D46/$B$5)</f>
        <v>-</v>
      </c>
      <c r="F46" s="53"/>
      <c r="G46" s="53"/>
    </row>
    <row r="47" customFormat="false" ht="21.75" hidden="false" customHeight="true" outlineLevel="0" collapsed="false">
      <c r="A47" s="54"/>
      <c r="B47" s="54"/>
      <c r="C47" s="54"/>
      <c r="D47" s="128" t="n">
        <f aca="false">SUM($C$17:C47)</f>
        <v>90250</v>
      </c>
      <c r="E47" s="129" t="str">
        <f aca="false">IF($B$5=0,"-",D47/$B$5)</f>
        <v>-</v>
      </c>
      <c r="F47" s="54"/>
      <c r="G47" s="54"/>
    </row>
    <row r="48" customFormat="false" ht="21.75" hidden="false" customHeight="true" outlineLevel="0" collapsed="false">
      <c r="A48" s="53"/>
      <c r="B48" s="53"/>
      <c r="C48" s="53"/>
      <c r="D48" s="124" t="n">
        <f aca="false">SUM($C$17:C48)</f>
        <v>90250</v>
      </c>
      <c r="E48" s="125" t="str">
        <f aca="false">IF($B$5=0,"-",D48/$B$5)</f>
        <v>-</v>
      </c>
      <c r="F48" s="53"/>
      <c r="G48" s="53"/>
    </row>
    <row r="49" customFormat="false" ht="21.75" hidden="false" customHeight="true" outlineLevel="0" collapsed="false">
      <c r="A49" s="54"/>
      <c r="B49" s="54"/>
      <c r="C49" s="54"/>
      <c r="D49" s="128" t="n">
        <f aca="false">SUM($C$17:C49)</f>
        <v>90250</v>
      </c>
      <c r="E49" s="129" t="str">
        <f aca="false">IF($B$5=0,"-",D49/$B$5)</f>
        <v>-</v>
      </c>
      <c r="F49" s="54"/>
      <c r="G49" s="54"/>
    </row>
    <row r="50" customFormat="false" ht="21.75" hidden="false" customHeight="true" outlineLevel="0" collapsed="false">
      <c r="A50" s="53"/>
      <c r="B50" s="53"/>
      <c r="C50" s="53"/>
      <c r="D50" s="124" t="n">
        <f aca="false">SUM($C$17:C50)</f>
        <v>90250</v>
      </c>
      <c r="E50" s="125" t="str">
        <f aca="false">IF($B$5=0,"-",D50/$B$5)</f>
        <v>-</v>
      </c>
      <c r="F50" s="53"/>
      <c r="G50" s="53"/>
    </row>
    <row r="51" customFormat="false" ht="21.75" hidden="false" customHeight="true" outlineLevel="0" collapsed="false">
      <c r="A51" s="54"/>
      <c r="B51" s="54"/>
      <c r="C51" s="54"/>
      <c r="D51" s="128" t="n">
        <f aca="false">SUM($C$17:C51)</f>
        <v>90250</v>
      </c>
      <c r="E51" s="129" t="str">
        <f aca="false">IF($B$5=0,"-",D51/$B$5)</f>
        <v>-</v>
      </c>
      <c r="F51" s="54"/>
      <c r="G51" s="54"/>
    </row>
    <row r="52" customFormat="false" ht="21.75" hidden="false" customHeight="true" outlineLevel="0" collapsed="false">
      <c r="A52" s="53"/>
      <c r="B52" s="53"/>
      <c r="C52" s="53"/>
      <c r="D52" s="124" t="n">
        <f aca="false">SUM($C$17:C52)</f>
        <v>90250</v>
      </c>
      <c r="E52" s="125" t="str">
        <f aca="false">IF($B$5=0,"-",D52/$B$5)</f>
        <v>-</v>
      </c>
      <c r="F52" s="53"/>
      <c r="G52" s="53"/>
    </row>
    <row r="53" customFormat="false" ht="21.75" hidden="false" customHeight="true" outlineLevel="0" collapsed="false">
      <c r="A53" s="54"/>
      <c r="B53" s="54"/>
      <c r="C53" s="54"/>
      <c r="D53" s="128" t="n">
        <f aca="false">SUM($C$17:C53)</f>
        <v>90250</v>
      </c>
      <c r="E53" s="129" t="str">
        <f aca="false">IF($B$5=0,"-",D53/$B$5)</f>
        <v>-</v>
      </c>
      <c r="F53" s="54"/>
      <c r="G53" s="54"/>
    </row>
    <row r="54" customFormat="false" ht="21.75" hidden="false" customHeight="true" outlineLevel="0" collapsed="false">
      <c r="A54" s="53"/>
      <c r="B54" s="53"/>
      <c r="C54" s="53"/>
      <c r="D54" s="124" t="n">
        <f aca="false">SUM($C$17:C54)</f>
        <v>90250</v>
      </c>
      <c r="E54" s="125" t="str">
        <f aca="false">IF($B$5=0,"-",D54/$B$5)</f>
        <v>-</v>
      </c>
      <c r="F54" s="53"/>
      <c r="G54" s="53"/>
    </row>
    <row r="55" customFormat="false" ht="21.75" hidden="false" customHeight="true" outlineLevel="0" collapsed="false">
      <c r="A55" s="54"/>
      <c r="B55" s="54"/>
      <c r="C55" s="54"/>
      <c r="D55" s="128" t="n">
        <f aca="false">SUM($C$17:C55)</f>
        <v>90250</v>
      </c>
      <c r="E55" s="129" t="str">
        <f aca="false">IF($B$5=0,"-",D55/$B$5)</f>
        <v>-</v>
      </c>
      <c r="F55" s="54"/>
      <c r="G55" s="54"/>
    </row>
    <row r="56" customFormat="false" ht="21.75" hidden="false" customHeight="true" outlineLevel="0" collapsed="false">
      <c r="A56" s="53"/>
      <c r="B56" s="53"/>
      <c r="C56" s="53"/>
      <c r="D56" s="124" t="n">
        <f aca="false">SUM($C$17:C56)</f>
        <v>90250</v>
      </c>
      <c r="E56" s="125" t="str">
        <f aca="false">IF($B$5=0,"-",D56/$B$5)</f>
        <v>-</v>
      </c>
      <c r="F56" s="53"/>
      <c r="G56" s="53"/>
    </row>
    <row r="57" customFormat="false" ht="21.75" hidden="false" customHeight="true" outlineLevel="0" collapsed="false">
      <c r="A57" s="54"/>
      <c r="B57" s="54"/>
      <c r="C57" s="54"/>
      <c r="D57" s="128" t="n">
        <f aca="false">SUM($C$17:C57)</f>
        <v>90250</v>
      </c>
      <c r="E57" s="129" t="str">
        <f aca="false">IF($B$5=0,"-",D57/$B$5)</f>
        <v>-</v>
      </c>
      <c r="F57" s="54"/>
      <c r="G57" s="54"/>
    </row>
    <row r="58" customFormat="false" ht="21.75" hidden="false" customHeight="true" outlineLevel="0" collapsed="false">
      <c r="A58" s="53"/>
      <c r="B58" s="53"/>
      <c r="C58" s="53"/>
      <c r="D58" s="124" t="n">
        <f aca="false">SUM($C$17:C58)</f>
        <v>90250</v>
      </c>
      <c r="E58" s="125" t="str">
        <f aca="false">IF($B$5=0,"-",D58/$B$5)</f>
        <v>-</v>
      </c>
      <c r="F58" s="53"/>
      <c r="G58" s="53"/>
    </row>
    <row r="59" customFormat="false" ht="21.75" hidden="false" customHeight="true" outlineLevel="0" collapsed="false">
      <c r="A59" s="54"/>
      <c r="B59" s="54"/>
      <c r="C59" s="54"/>
      <c r="D59" s="128" t="n">
        <f aca="false">SUM($C$17:C59)</f>
        <v>90250</v>
      </c>
      <c r="E59" s="129" t="str">
        <f aca="false">IF($B$5=0,"-",D59/$B$5)</f>
        <v>-</v>
      </c>
      <c r="F59" s="54"/>
      <c r="G59" s="54"/>
    </row>
    <row r="60" customFormat="false" ht="21.75" hidden="false" customHeight="true" outlineLevel="0" collapsed="false">
      <c r="A60" s="53"/>
      <c r="B60" s="53"/>
      <c r="C60" s="53"/>
      <c r="D60" s="124" t="n">
        <f aca="false">SUM($C$17:C60)</f>
        <v>90250</v>
      </c>
      <c r="E60" s="125" t="str">
        <f aca="false">IF($B$5=0,"-",D60/$B$5)</f>
        <v>-</v>
      </c>
      <c r="F60" s="53"/>
      <c r="G60" s="53"/>
    </row>
    <row r="61" customFormat="false" ht="21.75" hidden="false" customHeight="true" outlineLevel="0" collapsed="false">
      <c r="A61" s="54"/>
      <c r="B61" s="54"/>
      <c r="C61" s="54"/>
      <c r="D61" s="128" t="n">
        <f aca="false">SUM($C$17:C61)</f>
        <v>90250</v>
      </c>
      <c r="E61" s="129" t="str">
        <f aca="false">IF($B$5=0,"-",D61/$B$5)</f>
        <v>-</v>
      </c>
      <c r="F61" s="54"/>
      <c r="G61" s="54"/>
    </row>
    <row r="62" customFormat="false" ht="21.75" hidden="false" customHeight="true" outlineLevel="0" collapsed="false">
      <c r="A62" s="53"/>
      <c r="B62" s="53"/>
      <c r="C62" s="53"/>
      <c r="D62" s="124" t="n">
        <f aca="false">SUM($C$17:C62)</f>
        <v>90250</v>
      </c>
      <c r="E62" s="125" t="str">
        <f aca="false">IF($B$5=0,"-",D62/$B$5)</f>
        <v>-</v>
      </c>
      <c r="F62" s="53"/>
      <c r="G62" s="53"/>
    </row>
    <row r="63" customFormat="false" ht="21.75" hidden="false" customHeight="true" outlineLevel="0" collapsed="false">
      <c r="A63" s="54"/>
      <c r="B63" s="54"/>
      <c r="C63" s="54"/>
      <c r="D63" s="128" t="n">
        <f aca="false">SUM($C$17:C63)</f>
        <v>90250</v>
      </c>
      <c r="E63" s="129" t="str">
        <f aca="false">IF($B$5=0,"-",D63/$B$5)</f>
        <v>-</v>
      </c>
      <c r="F63" s="54"/>
      <c r="G63" s="54"/>
    </row>
    <row r="64" customFormat="false" ht="21.75" hidden="false" customHeight="true" outlineLevel="0" collapsed="false">
      <c r="A64" s="53"/>
      <c r="B64" s="53"/>
      <c r="C64" s="53"/>
      <c r="D64" s="124" t="n">
        <f aca="false">SUM($C$17:C64)</f>
        <v>90250</v>
      </c>
      <c r="E64" s="125" t="str">
        <f aca="false">IF($B$5=0,"-",D64/$B$5)</f>
        <v>-</v>
      </c>
      <c r="F64" s="53"/>
      <c r="G64" s="53"/>
    </row>
    <row r="65" customFormat="false" ht="21.75" hidden="false" customHeight="true" outlineLevel="0" collapsed="false">
      <c r="A65" s="54"/>
      <c r="B65" s="54"/>
      <c r="C65" s="54"/>
      <c r="D65" s="128" t="n">
        <f aca="false">SUM($C$17:C65)</f>
        <v>90250</v>
      </c>
      <c r="E65" s="129" t="str">
        <f aca="false">IF($B$5=0,"-",D65/$B$5)</f>
        <v>-</v>
      </c>
      <c r="F65" s="54"/>
      <c r="G65" s="54"/>
    </row>
    <row r="66" customFormat="false" ht="21.75" hidden="false" customHeight="true" outlineLevel="0" collapsed="false">
      <c r="A66" s="53"/>
      <c r="B66" s="53"/>
      <c r="C66" s="53"/>
      <c r="D66" s="124" t="n">
        <f aca="false">SUM($C$17:C66)</f>
        <v>90250</v>
      </c>
      <c r="E66" s="125" t="str">
        <f aca="false">IF($B$5=0,"-",D66/$B$5)</f>
        <v>-</v>
      </c>
      <c r="F66" s="53"/>
      <c r="G66" s="53"/>
    </row>
    <row r="67" customFormat="false" ht="21.75" hidden="false" customHeight="true" outlineLevel="0" collapsed="false">
      <c r="A67" s="54"/>
      <c r="B67" s="54"/>
      <c r="C67" s="54"/>
      <c r="D67" s="128" t="n">
        <f aca="false">SUM($C$17:C67)</f>
        <v>90250</v>
      </c>
      <c r="E67" s="129" t="str">
        <f aca="false">IF($B$5=0,"-",D67/$B$5)</f>
        <v>-</v>
      </c>
      <c r="F67" s="54"/>
      <c r="G67" s="54"/>
    </row>
    <row r="68" customFormat="false" ht="21.75" hidden="false" customHeight="true" outlineLevel="0" collapsed="false">
      <c r="A68" s="53"/>
      <c r="B68" s="53"/>
      <c r="C68" s="53"/>
      <c r="D68" s="124" t="n">
        <f aca="false">SUM($C$17:C68)</f>
        <v>90250</v>
      </c>
      <c r="E68" s="125" t="str">
        <f aca="false">IF($B$5=0,"-",D68/$B$5)</f>
        <v>-</v>
      </c>
      <c r="F68" s="53"/>
      <c r="G68" s="53"/>
    </row>
    <row r="69" customFormat="false" ht="21.75" hidden="false" customHeight="true" outlineLevel="0" collapsed="false">
      <c r="A69" s="54"/>
      <c r="B69" s="54"/>
      <c r="C69" s="54"/>
      <c r="D69" s="128" t="n">
        <f aca="false">SUM($C$17:C69)</f>
        <v>90250</v>
      </c>
      <c r="E69" s="129" t="str">
        <f aca="false">IF($B$5=0,"-",D69/$B$5)</f>
        <v>-</v>
      </c>
      <c r="F69" s="54"/>
      <c r="G69" s="54"/>
    </row>
    <row r="70" customFormat="false" ht="21.75" hidden="false" customHeight="true" outlineLevel="0" collapsed="false">
      <c r="A70" s="53"/>
      <c r="B70" s="53"/>
      <c r="C70" s="53"/>
      <c r="D70" s="124" t="n">
        <f aca="false">SUM($C$17:C70)</f>
        <v>90250</v>
      </c>
      <c r="E70" s="125" t="str">
        <f aca="false">IF($B$5=0,"-",D70/$B$5)</f>
        <v>-</v>
      </c>
      <c r="F70" s="53"/>
      <c r="G70" s="53"/>
    </row>
    <row r="71" customFormat="false" ht="21.75" hidden="false" customHeight="true" outlineLevel="0" collapsed="false">
      <c r="A71" s="54"/>
      <c r="B71" s="54"/>
      <c r="C71" s="54"/>
      <c r="D71" s="128" t="n">
        <f aca="false">SUM($C$17:C71)</f>
        <v>90250</v>
      </c>
      <c r="E71" s="129" t="str">
        <f aca="false">IF($B$5=0,"-",D71/$B$5)</f>
        <v>-</v>
      </c>
      <c r="F71" s="54"/>
      <c r="G71" s="54"/>
    </row>
    <row r="72" customFormat="false" ht="21.75" hidden="false" customHeight="true" outlineLevel="0" collapsed="false">
      <c r="A72" s="53"/>
      <c r="B72" s="53"/>
      <c r="C72" s="53"/>
      <c r="D72" s="124" t="n">
        <f aca="false">SUM($C$17:C72)</f>
        <v>90250</v>
      </c>
      <c r="E72" s="125" t="str">
        <f aca="false">IF($B$5=0,"-",D72/$B$5)</f>
        <v>-</v>
      </c>
      <c r="F72" s="53"/>
      <c r="G72" s="53"/>
    </row>
    <row r="73" customFormat="false" ht="21.75" hidden="false" customHeight="true" outlineLevel="0" collapsed="false">
      <c r="A73" s="54"/>
      <c r="B73" s="54"/>
      <c r="C73" s="54"/>
      <c r="D73" s="128" t="n">
        <f aca="false">SUM($C$17:C73)</f>
        <v>90250</v>
      </c>
      <c r="E73" s="129" t="str">
        <f aca="false">IF($B$5=0,"-",D73/$B$5)</f>
        <v>-</v>
      </c>
      <c r="F73" s="54"/>
      <c r="G73" s="54"/>
    </row>
    <row r="74" customFormat="false" ht="21.75" hidden="false" customHeight="true" outlineLevel="0" collapsed="false">
      <c r="A74" s="53"/>
      <c r="B74" s="53"/>
      <c r="C74" s="53"/>
      <c r="D74" s="124" t="n">
        <f aca="false">SUM($C$17:C74)</f>
        <v>90250</v>
      </c>
      <c r="E74" s="125" t="str">
        <f aca="false">IF($B$5=0,"-",D74/$B$5)</f>
        <v>-</v>
      </c>
      <c r="F74" s="53"/>
      <c r="G74" s="53"/>
    </row>
    <row r="75" customFormat="false" ht="21.75" hidden="false" customHeight="true" outlineLevel="0" collapsed="false">
      <c r="A75" s="54"/>
      <c r="B75" s="54"/>
      <c r="C75" s="54"/>
      <c r="D75" s="128" t="n">
        <f aca="false">SUM($C$17:C75)</f>
        <v>90250</v>
      </c>
      <c r="E75" s="129" t="str">
        <f aca="false">IF($B$5=0,"-",D75/$B$5)</f>
        <v>-</v>
      </c>
      <c r="F75" s="54"/>
      <c r="G75" s="54"/>
    </row>
    <row r="76" customFormat="false" ht="21.75" hidden="false" customHeight="true" outlineLevel="0" collapsed="false">
      <c r="A76" s="53"/>
      <c r="B76" s="53"/>
      <c r="C76" s="53"/>
      <c r="D76" s="124" t="n">
        <f aca="false">SUM($C$17:C76)</f>
        <v>90250</v>
      </c>
      <c r="E76" s="125" t="str">
        <f aca="false">IF($B$5=0,"-",D76/$B$5)</f>
        <v>-</v>
      </c>
      <c r="F76" s="53"/>
      <c r="G76" s="53"/>
    </row>
    <row r="77" customFormat="false" ht="21.75" hidden="false" customHeight="true" outlineLevel="0" collapsed="false">
      <c r="A77" s="54"/>
      <c r="B77" s="54"/>
      <c r="C77" s="54"/>
      <c r="D77" s="128" t="n">
        <f aca="false">SUM($C$17:C77)</f>
        <v>90250</v>
      </c>
      <c r="E77" s="129" t="str">
        <f aca="false">IF($B$5=0,"-",D77/$B$5)</f>
        <v>-</v>
      </c>
      <c r="F77" s="54"/>
      <c r="G77" s="54"/>
    </row>
    <row r="78" customFormat="false" ht="21.75" hidden="false" customHeight="true" outlineLevel="0" collapsed="false">
      <c r="A78" s="53"/>
      <c r="B78" s="53"/>
      <c r="C78" s="53"/>
      <c r="D78" s="124" t="n">
        <f aca="false">SUM($C$17:C78)</f>
        <v>90250</v>
      </c>
      <c r="E78" s="125" t="str">
        <f aca="false">IF($B$5=0,"-",D78/$B$5)</f>
        <v>-</v>
      </c>
      <c r="F78" s="53"/>
      <c r="G78" s="53"/>
    </row>
    <row r="79" customFormat="false" ht="21.75" hidden="false" customHeight="true" outlineLevel="0" collapsed="false">
      <c r="A79" s="54"/>
      <c r="B79" s="54"/>
      <c r="C79" s="54"/>
      <c r="D79" s="128" t="n">
        <f aca="false">SUM($C$17:C79)</f>
        <v>90250</v>
      </c>
      <c r="E79" s="129" t="str">
        <f aca="false">IF($B$5=0,"-",D79/$B$5)</f>
        <v>-</v>
      </c>
      <c r="F79" s="54"/>
      <c r="G79" s="54"/>
    </row>
    <row r="80" customFormat="false" ht="21.75" hidden="false" customHeight="true" outlineLevel="0" collapsed="false">
      <c r="A80" s="53"/>
      <c r="B80" s="53"/>
      <c r="C80" s="53"/>
      <c r="D80" s="124" t="n">
        <f aca="false">SUM($C$17:C80)</f>
        <v>90250</v>
      </c>
      <c r="E80" s="125" t="str">
        <f aca="false">IF($B$5=0,"-",D80/$B$5)</f>
        <v>-</v>
      </c>
      <c r="F80" s="53"/>
      <c r="G80" s="53"/>
    </row>
    <row r="81" customFormat="false" ht="21.75" hidden="false" customHeight="true" outlineLevel="0" collapsed="false">
      <c r="A81" s="54"/>
      <c r="B81" s="54"/>
      <c r="C81" s="54"/>
      <c r="D81" s="128" t="n">
        <f aca="false">SUM($C$17:C81)</f>
        <v>90250</v>
      </c>
      <c r="E81" s="129" t="str">
        <f aca="false">IF($B$5=0,"-",D81/$B$5)</f>
        <v>-</v>
      </c>
      <c r="F81" s="54"/>
      <c r="G81" s="54"/>
    </row>
    <row r="82" customFormat="false" ht="21.75" hidden="false" customHeight="true" outlineLevel="0" collapsed="false">
      <c r="A82" s="53"/>
      <c r="B82" s="53"/>
      <c r="C82" s="53"/>
      <c r="D82" s="124" t="n">
        <f aca="false">SUM($C$17:C82)</f>
        <v>90250</v>
      </c>
      <c r="E82" s="125" t="str">
        <f aca="false">IF($B$5=0,"-",D82/$B$5)</f>
        <v>-</v>
      </c>
      <c r="F82" s="53"/>
      <c r="G82" s="53"/>
    </row>
    <row r="83" customFormat="false" ht="21.75" hidden="false" customHeight="true" outlineLevel="0" collapsed="false">
      <c r="A83" s="54"/>
      <c r="B83" s="54"/>
      <c r="C83" s="54"/>
      <c r="D83" s="128" t="n">
        <f aca="false">SUM($C$17:C83)</f>
        <v>90250</v>
      </c>
      <c r="E83" s="129" t="str">
        <f aca="false">IF($B$5=0,"-",D83/$B$5)</f>
        <v>-</v>
      </c>
      <c r="F83" s="54"/>
      <c r="G83" s="54"/>
    </row>
    <row r="84" customFormat="false" ht="21.75" hidden="false" customHeight="true" outlineLevel="0" collapsed="false">
      <c r="A84" s="53"/>
      <c r="B84" s="53"/>
      <c r="C84" s="53"/>
      <c r="D84" s="124" t="n">
        <f aca="false">SUM($C$17:C84)</f>
        <v>90250</v>
      </c>
      <c r="E84" s="125" t="str">
        <f aca="false">IF($B$5=0,"-",D84/$B$5)</f>
        <v>-</v>
      </c>
      <c r="F84" s="53"/>
      <c r="G84" s="53"/>
    </row>
    <row r="85" customFormat="false" ht="21.75" hidden="false" customHeight="true" outlineLevel="0" collapsed="false">
      <c r="A85" s="54"/>
      <c r="B85" s="54"/>
      <c r="C85" s="54"/>
      <c r="D85" s="128" t="n">
        <f aca="false">SUM($C$17:C85)</f>
        <v>90250</v>
      </c>
      <c r="E85" s="129" t="str">
        <f aca="false">IF($B$5=0,"-",D85/$B$5)</f>
        <v>-</v>
      </c>
      <c r="F85" s="54"/>
      <c r="G85" s="54"/>
    </row>
    <row r="86" customFormat="false" ht="21.75" hidden="false" customHeight="true" outlineLevel="0" collapsed="false">
      <c r="A86" s="53"/>
      <c r="B86" s="53"/>
      <c r="C86" s="53"/>
      <c r="D86" s="124" t="n">
        <f aca="false">SUM($C$17:C86)</f>
        <v>90250</v>
      </c>
      <c r="E86" s="125" t="str">
        <f aca="false">IF($B$5=0,"-",D86/$B$5)</f>
        <v>-</v>
      </c>
      <c r="F86" s="53"/>
      <c r="G86" s="53"/>
    </row>
    <row r="87" customFormat="false" ht="21.75" hidden="false" customHeight="true" outlineLevel="0" collapsed="false">
      <c r="A87" s="54"/>
      <c r="B87" s="54"/>
      <c r="C87" s="54"/>
      <c r="D87" s="128" t="n">
        <f aca="false">SUM($C$17:C87)</f>
        <v>90250</v>
      </c>
      <c r="E87" s="129" t="str">
        <f aca="false">IF($B$5=0,"-",D87/$B$5)</f>
        <v>-</v>
      </c>
      <c r="F87" s="54"/>
      <c r="G87" s="54"/>
    </row>
    <row r="88" customFormat="false" ht="21.75" hidden="false" customHeight="true" outlineLevel="0" collapsed="false">
      <c r="A88" s="53"/>
      <c r="B88" s="53"/>
      <c r="C88" s="53"/>
      <c r="D88" s="124" t="n">
        <f aca="false">SUM($C$17:C88)</f>
        <v>90250</v>
      </c>
      <c r="E88" s="125" t="str">
        <f aca="false">IF($B$5=0,"-",D88/$B$5)</f>
        <v>-</v>
      </c>
      <c r="F88" s="53"/>
      <c r="G88" s="53"/>
    </row>
    <row r="89" customFormat="false" ht="21.75" hidden="false" customHeight="true" outlineLevel="0" collapsed="false">
      <c r="A89" s="54"/>
      <c r="B89" s="54"/>
      <c r="C89" s="54"/>
      <c r="D89" s="128" t="n">
        <f aca="false">SUM($C$17:C89)</f>
        <v>90250</v>
      </c>
      <c r="E89" s="129" t="str">
        <f aca="false">IF($B$5=0,"-",D89/$B$5)</f>
        <v>-</v>
      </c>
      <c r="F89" s="54"/>
      <c r="G89" s="54"/>
    </row>
    <row r="90" customFormat="false" ht="21.75" hidden="false" customHeight="true" outlineLevel="0" collapsed="false">
      <c r="A90" s="53"/>
      <c r="B90" s="53"/>
      <c r="C90" s="53"/>
      <c r="D90" s="124" t="n">
        <f aca="false">SUM($C$17:C90)</f>
        <v>90250</v>
      </c>
      <c r="E90" s="125" t="str">
        <f aca="false">IF($B$5=0,"-",D90/$B$5)</f>
        <v>-</v>
      </c>
      <c r="F90" s="53"/>
      <c r="G90" s="53"/>
    </row>
    <row r="91" customFormat="false" ht="21.75" hidden="false" customHeight="true" outlineLevel="0" collapsed="false">
      <c r="A91" s="54"/>
      <c r="B91" s="54"/>
      <c r="C91" s="54"/>
      <c r="D91" s="128" t="n">
        <f aca="false">SUM($C$17:C91)</f>
        <v>90250</v>
      </c>
      <c r="E91" s="129" t="str">
        <f aca="false">IF($B$5=0,"-",D91/$B$5)</f>
        <v>-</v>
      </c>
      <c r="F91" s="54"/>
      <c r="G91" s="54"/>
    </row>
    <row r="92" customFormat="false" ht="21.75" hidden="false" customHeight="true" outlineLevel="0" collapsed="false">
      <c r="A92" s="53"/>
      <c r="B92" s="53"/>
      <c r="C92" s="53"/>
      <c r="D92" s="124" t="n">
        <f aca="false">SUM($C$17:C92)</f>
        <v>90250</v>
      </c>
      <c r="E92" s="125" t="str">
        <f aca="false">IF($B$5=0,"-",D92/$B$5)</f>
        <v>-</v>
      </c>
      <c r="F92" s="53"/>
      <c r="G92" s="53"/>
    </row>
    <row r="93" customFormat="false" ht="21.75" hidden="false" customHeight="true" outlineLevel="0" collapsed="false">
      <c r="A93" s="54"/>
      <c r="B93" s="54"/>
      <c r="C93" s="54"/>
      <c r="D93" s="128" t="n">
        <f aca="false">SUM($C$17:C93)</f>
        <v>90250</v>
      </c>
      <c r="E93" s="129" t="str">
        <f aca="false">IF($B$5=0,"-",D93/$B$5)</f>
        <v>-</v>
      </c>
      <c r="F93" s="54"/>
      <c r="G93" s="54"/>
    </row>
    <row r="94" customFormat="false" ht="21.75" hidden="false" customHeight="true" outlineLevel="0" collapsed="false">
      <c r="A94" s="53"/>
      <c r="B94" s="53"/>
      <c r="C94" s="53"/>
      <c r="D94" s="124" t="n">
        <f aca="false">SUM($C$17:C94)</f>
        <v>90250</v>
      </c>
      <c r="E94" s="125" t="str">
        <f aca="false">IF($B$5=0,"-",D94/$B$5)</f>
        <v>-</v>
      </c>
      <c r="F94" s="53"/>
      <c r="G94" s="53"/>
    </row>
    <row r="95" customFormat="false" ht="21.75" hidden="false" customHeight="true" outlineLevel="0" collapsed="false">
      <c r="A95" s="54"/>
      <c r="B95" s="54"/>
      <c r="C95" s="54"/>
      <c r="D95" s="128" t="n">
        <f aca="false">SUM($C$17:C95)</f>
        <v>90250</v>
      </c>
      <c r="E95" s="129" t="str">
        <f aca="false">IF($B$5=0,"-",D95/$B$5)</f>
        <v>-</v>
      </c>
      <c r="F95" s="54"/>
      <c r="G95" s="54"/>
    </row>
    <row r="96" customFormat="false" ht="21.75" hidden="false" customHeight="true" outlineLevel="0" collapsed="false">
      <c r="A96" s="53"/>
      <c r="B96" s="53"/>
      <c r="C96" s="53"/>
      <c r="D96" s="124" t="n">
        <f aca="false">SUM($C$17:C96)</f>
        <v>90250</v>
      </c>
      <c r="E96" s="125" t="str">
        <f aca="false">IF($B$5=0,"-",D96/$B$5)</f>
        <v>-</v>
      </c>
      <c r="F96" s="53"/>
      <c r="G96" s="53"/>
    </row>
    <row r="97" customFormat="false" ht="21.75" hidden="false" customHeight="true" outlineLevel="0" collapsed="false">
      <c r="A97" s="54"/>
      <c r="B97" s="54"/>
      <c r="C97" s="54"/>
      <c r="D97" s="128" t="n">
        <f aca="false">SUM($C$17:C97)</f>
        <v>90250</v>
      </c>
      <c r="E97" s="129" t="str">
        <f aca="false">IF($B$5=0,"-",D97/$B$5)</f>
        <v>-</v>
      </c>
      <c r="F97" s="54"/>
      <c r="G97" s="54"/>
    </row>
    <row r="98" customFormat="false" ht="21.75" hidden="false" customHeight="true" outlineLevel="0" collapsed="false">
      <c r="A98" s="53"/>
      <c r="B98" s="53"/>
      <c r="C98" s="53"/>
      <c r="D98" s="124" t="n">
        <f aca="false">SUM($C$17:C98)</f>
        <v>90250</v>
      </c>
      <c r="E98" s="125" t="str">
        <f aca="false">IF($B$5=0,"-",D98/$B$5)</f>
        <v>-</v>
      </c>
      <c r="F98" s="53"/>
      <c r="G98" s="53"/>
    </row>
    <row r="99" customFormat="false" ht="21.75" hidden="false" customHeight="true" outlineLevel="0" collapsed="false">
      <c r="A99" s="54"/>
      <c r="B99" s="54"/>
      <c r="C99" s="54"/>
      <c r="D99" s="128" t="n">
        <f aca="false">SUM($C$17:C99)</f>
        <v>90250</v>
      </c>
      <c r="E99" s="129" t="str">
        <f aca="false">IF($B$5=0,"-",D99/$B$5)</f>
        <v>-</v>
      </c>
      <c r="F99" s="54"/>
      <c r="G99" s="54"/>
    </row>
    <row r="100" customFormat="false" ht="21.75" hidden="false" customHeight="true" outlineLevel="0" collapsed="false">
      <c r="A100" s="53"/>
      <c r="B100" s="53"/>
      <c r="C100" s="53"/>
      <c r="D100" s="124" t="n">
        <f aca="false">SUM($C$17:C100)</f>
        <v>90250</v>
      </c>
      <c r="E100" s="125" t="str">
        <f aca="false">IF($B$5=0,"-",D100/$B$5)</f>
        <v>-</v>
      </c>
      <c r="F100" s="53"/>
      <c r="G100" s="53"/>
    </row>
    <row r="101" customFormat="false" ht="21.75" hidden="false" customHeight="true" outlineLevel="0" collapsed="false">
      <c r="A101" s="54"/>
      <c r="B101" s="54"/>
      <c r="C101" s="54"/>
      <c r="D101" s="128" t="n">
        <f aca="false">SUM($C$17:C101)</f>
        <v>90250</v>
      </c>
      <c r="E101" s="129" t="str">
        <f aca="false">IF($B$5=0,"-",D101/$B$5)</f>
        <v>-</v>
      </c>
      <c r="F101" s="54"/>
      <c r="G101" s="54"/>
    </row>
    <row r="102" customFormat="false" ht="21.75" hidden="false" customHeight="true" outlineLevel="0" collapsed="false">
      <c r="A102" s="53"/>
      <c r="B102" s="53"/>
      <c r="C102" s="53"/>
      <c r="D102" s="124" t="n">
        <f aca="false">SUM($C$17:C102)</f>
        <v>90250</v>
      </c>
      <c r="E102" s="125" t="str">
        <f aca="false">IF($B$5=0,"-",D102/$B$5)</f>
        <v>-</v>
      </c>
      <c r="F102" s="53"/>
      <c r="G102" s="53"/>
    </row>
    <row r="103" customFormat="false" ht="21.75" hidden="false" customHeight="true" outlineLevel="0" collapsed="false">
      <c r="A103" s="54"/>
      <c r="B103" s="54"/>
      <c r="C103" s="54"/>
      <c r="D103" s="128" t="n">
        <f aca="false">SUM($C$17:C103)</f>
        <v>90250</v>
      </c>
      <c r="E103" s="129" t="str">
        <f aca="false">IF($B$5=0,"-",D103/$B$5)</f>
        <v>-</v>
      </c>
      <c r="F103" s="54"/>
      <c r="G103" s="54"/>
    </row>
    <row r="104" customFormat="false" ht="21.75" hidden="false" customHeight="true" outlineLevel="0" collapsed="false">
      <c r="A104" s="53"/>
      <c r="B104" s="53"/>
      <c r="C104" s="53"/>
      <c r="D104" s="124" t="n">
        <f aca="false">SUM($C$17:C104)</f>
        <v>90250</v>
      </c>
      <c r="E104" s="125" t="str">
        <f aca="false">IF($B$5=0,"-",D104/$B$5)</f>
        <v>-</v>
      </c>
      <c r="F104" s="53"/>
      <c r="G104" s="53"/>
    </row>
    <row r="105" customFormat="false" ht="21.75" hidden="false" customHeight="true" outlineLevel="0" collapsed="false">
      <c r="A105" s="54"/>
      <c r="B105" s="54"/>
      <c r="C105" s="54"/>
      <c r="D105" s="128" t="n">
        <f aca="false">SUM($C$17:C105)</f>
        <v>90250</v>
      </c>
      <c r="E105" s="129" t="str">
        <f aca="false">IF($B$5=0,"-",D105/$B$5)</f>
        <v>-</v>
      </c>
      <c r="F105" s="54"/>
      <c r="G105" s="54"/>
    </row>
    <row r="106" customFormat="false" ht="21.75" hidden="false" customHeight="true" outlineLevel="0" collapsed="false">
      <c r="A106" s="53"/>
      <c r="B106" s="53"/>
      <c r="C106" s="53"/>
      <c r="D106" s="124" t="n">
        <f aca="false">SUM($C$17:C106)</f>
        <v>90250</v>
      </c>
      <c r="E106" s="125" t="str">
        <f aca="false">IF($B$5=0,"-",D106/$B$5)</f>
        <v>-</v>
      </c>
      <c r="F106" s="53"/>
      <c r="G106" s="53"/>
    </row>
    <row r="107" customFormat="false" ht="21.75" hidden="false" customHeight="true" outlineLevel="0" collapsed="false">
      <c r="A107" s="54"/>
      <c r="B107" s="54"/>
      <c r="C107" s="54"/>
      <c r="D107" s="128" t="n">
        <f aca="false">SUM($C$17:C107)</f>
        <v>90250</v>
      </c>
      <c r="E107" s="129" t="str">
        <f aca="false">IF($B$5=0,"-",D107/$B$5)</f>
        <v>-</v>
      </c>
      <c r="F107" s="54"/>
      <c r="G107" s="54"/>
    </row>
    <row r="108" customFormat="false" ht="21.75" hidden="false" customHeight="true" outlineLevel="0" collapsed="false">
      <c r="A108" s="53"/>
      <c r="B108" s="53"/>
      <c r="C108" s="53"/>
      <c r="D108" s="124" t="n">
        <f aca="false">SUM($C$17:C108)</f>
        <v>90250</v>
      </c>
      <c r="E108" s="125" t="str">
        <f aca="false">IF($B$5=0,"-",D108/$B$5)</f>
        <v>-</v>
      </c>
      <c r="F108" s="53"/>
      <c r="G108" s="53"/>
    </row>
    <row r="109" customFormat="false" ht="21.75" hidden="false" customHeight="true" outlineLevel="0" collapsed="false">
      <c r="A109" s="54"/>
      <c r="B109" s="54"/>
      <c r="C109" s="54"/>
      <c r="D109" s="128" t="n">
        <f aca="false">SUM($C$17:C109)</f>
        <v>90250</v>
      </c>
      <c r="E109" s="129" t="str">
        <f aca="false">IF($B$5=0,"-",D109/$B$5)</f>
        <v>-</v>
      </c>
      <c r="F109" s="54"/>
      <c r="G109" s="54"/>
    </row>
    <row r="110" customFormat="false" ht="21.75" hidden="false" customHeight="true" outlineLevel="0" collapsed="false">
      <c r="A110" s="53"/>
      <c r="B110" s="53"/>
      <c r="C110" s="53"/>
      <c r="D110" s="124" t="n">
        <f aca="false">SUM($C$17:C110)</f>
        <v>90250</v>
      </c>
      <c r="E110" s="125" t="str">
        <f aca="false">IF($B$5=0,"-",D110/$B$5)</f>
        <v>-</v>
      </c>
      <c r="F110" s="53"/>
      <c r="G110" s="53"/>
    </row>
    <row r="111" customFormat="false" ht="21.75" hidden="false" customHeight="true" outlineLevel="0" collapsed="false">
      <c r="A111" s="54"/>
      <c r="B111" s="54"/>
      <c r="C111" s="54"/>
      <c r="D111" s="128" t="n">
        <f aca="false">SUM($C$17:C111)</f>
        <v>90250</v>
      </c>
      <c r="E111" s="129" t="str">
        <f aca="false">IF($B$5=0,"-",D111/$B$5)</f>
        <v>-</v>
      </c>
      <c r="F111" s="54"/>
      <c r="G111" s="54"/>
    </row>
    <row r="112" customFormat="false" ht="21.75" hidden="false" customHeight="true" outlineLevel="0" collapsed="false">
      <c r="A112" s="53"/>
      <c r="B112" s="53"/>
      <c r="C112" s="53"/>
      <c r="D112" s="124" t="n">
        <f aca="false">SUM($C$17:C112)</f>
        <v>90250</v>
      </c>
      <c r="E112" s="125" t="str">
        <f aca="false">IF($B$5=0,"-",D112/$B$5)</f>
        <v>-</v>
      </c>
      <c r="F112" s="53"/>
      <c r="G112" s="53"/>
    </row>
    <row r="113" customFormat="false" ht="21.75" hidden="false" customHeight="true" outlineLevel="0" collapsed="false">
      <c r="A113" s="54"/>
      <c r="B113" s="54"/>
      <c r="C113" s="54"/>
      <c r="D113" s="128" t="n">
        <f aca="false">SUM($C$17:C113)</f>
        <v>90250</v>
      </c>
      <c r="E113" s="129" t="str">
        <f aca="false">IF($B$5=0,"-",D113/$B$5)</f>
        <v>-</v>
      </c>
      <c r="F113" s="54"/>
      <c r="G113" s="54"/>
    </row>
    <row r="114" customFormat="false" ht="21.75" hidden="false" customHeight="true" outlineLevel="0" collapsed="false">
      <c r="A114" s="53"/>
      <c r="B114" s="53"/>
      <c r="C114" s="53"/>
      <c r="D114" s="124" t="n">
        <f aca="false">SUM($C$17:C114)</f>
        <v>90250</v>
      </c>
      <c r="E114" s="125" t="str">
        <f aca="false">IF($B$5=0,"-",D114/$B$5)</f>
        <v>-</v>
      </c>
      <c r="F114" s="53"/>
      <c r="G114" s="53"/>
    </row>
    <row r="115" customFormat="false" ht="21.75" hidden="false" customHeight="true" outlineLevel="0" collapsed="false">
      <c r="A115" s="54"/>
      <c r="B115" s="54"/>
      <c r="C115" s="54"/>
      <c r="D115" s="128" t="n">
        <f aca="false">SUM($C$17:C115)</f>
        <v>90250</v>
      </c>
      <c r="E115" s="129" t="str">
        <f aca="false">IF($B$5=0,"-",D115/$B$5)</f>
        <v>-</v>
      </c>
      <c r="F115" s="54"/>
      <c r="G115" s="54"/>
    </row>
    <row r="116" customFormat="false" ht="21.75" hidden="false" customHeight="true" outlineLevel="0" collapsed="false">
      <c r="A116" s="53"/>
      <c r="B116" s="53"/>
      <c r="C116" s="53"/>
      <c r="D116" s="124" t="n">
        <f aca="false">SUM($C$17:C116)</f>
        <v>90250</v>
      </c>
      <c r="E116" s="125" t="str">
        <f aca="false">IF($B$5=0,"-",D116/$B$5)</f>
        <v>-</v>
      </c>
      <c r="F116" s="53"/>
      <c r="G116" s="53"/>
    </row>
    <row r="117" customFormat="false" ht="21.75" hidden="false" customHeight="true" outlineLevel="0" collapsed="false">
      <c r="A117" s="54"/>
      <c r="B117" s="54"/>
      <c r="C117" s="54"/>
      <c r="D117" s="128" t="n">
        <f aca="false">SUM($C$17:C117)</f>
        <v>90250</v>
      </c>
      <c r="E117" s="129" t="str">
        <f aca="false">IF($B$5=0,"-",D117/$B$5)</f>
        <v>-</v>
      </c>
      <c r="F117" s="54"/>
      <c r="G117" s="54"/>
    </row>
    <row r="118" customFormat="false" ht="21.75" hidden="false" customHeight="true" outlineLevel="0" collapsed="false">
      <c r="A118" s="53"/>
      <c r="B118" s="53"/>
      <c r="C118" s="53"/>
      <c r="D118" s="124" t="n">
        <f aca="false">SUM($C$17:C118)</f>
        <v>90250</v>
      </c>
      <c r="E118" s="125" t="str">
        <f aca="false">IF($B$5=0,"-",D118/$B$5)</f>
        <v>-</v>
      </c>
      <c r="F118" s="53"/>
      <c r="G118" s="53"/>
    </row>
    <row r="119" customFormat="false" ht="21.75" hidden="false" customHeight="true" outlineLevel="0" collapsed="false">
      <c r="A119" s="54"/>
      <c r="B119" s="54"/>
      <c r="C119" s="54"/>
      <c r="D119" s="128" t="n">
        <f aca="false">SUM($C$17:C119)</f>
        <v>90250</v>
      </c>
      <c r="E119" s="129" t="str">
        <f aca="false">IF($B$5=0,"-",D119/$B$5)</f>
        <v>-</v>
      </c>
      <c r="F119" s="54"/>
      <c r="G119" s="54"/>
    </row>
    <row r="120" customFormat="false" ht="21.75" hidden="false" customHeight="true" outlineLevel="0" collapsed="false">
      <c r="A120" s="53"/>
      <c r="B120" s="53"/>
      <c r="C120" s="53"/>
      <c r="D120" s="124" t="n">
        <f aca="false">SUM($C$17:C120)</f>
        <v>90250</v>
      </c>
      <c r="E120" s="125" t="str">
        <f aca="false">IF($B$5=0,"-",D120/$B$5)</f>
        <v>-</v>
      </c>
      <c r="F120" s="53"/>
      <c r="G120" s="53"/>
    </row>
    <row r="121" customFormat="false" ht="21.75" hidden="false" customHeight="true" outlineLevel="0" collapsed="false">
      <c r="A121" s="54"/>
      <c r="B121" s="54"/>
      <c r="C121" s="54"/>
      <c r="D121" s="128" t="n">
        <f aca="false">SUM($C$17:C121)</f>
        <v>90250</v>
      </c>
      <c r="E121" s="129" t="str">
        <f aca="false">IF($B$5=0,"-",D121/$B$5)</f>
        <v>-</v>
      </c>
      <c r="F121" s="54"/>
      <c r="G121" s="54"/>
    </row>
    <row r="122" customFormat="false" ht="21.75" hidden="false" customHeight="true" outlineLevel="0" collapsed="false">
      <c r="A122" s="53"/>
      <c r="B122" s="53"/>
      <c r="C122" s="53"/>
      <c r="D122" s="124" t="n">
        <f aca="false">SUM($C$17:C122)</f>
        <v>90250</v>
      </c>
      <c r="E122" s="125" t="str">
        <f aca="false">IF($B$5=0,"-",D122/$B$5)</f>
        <v>-</v>
      </c>
      <c r="F122" s="53"/>
      <c r="G122" s="53"/>
    </row>
    <row r="123" customFormat="false" ht="21.75" hidden="false" customHeight="true" outlineLevel="0" collapsed="false">
      <c r="A123" s="54"/>
      <c r="B123" s="54"/>
      <c r="C123" s="54"/>
      <c r="D123" s="128" t="n">
        <f aca="false">SUM($C$17:C123)</f>
        <v>90250</v>
      </c>
      <c r="E123" s="129" t="str">
        <f aca="false">IF($B$5=0,"-",D123/$B$5)</f>
        <v>-</v>
      </c>
      <c r="F123" s="54"/>
      <c r="G123" s="54"/>
    </row>
    <row r="124" customFormat="false" ht="21.75" hidden="false" customHeight="true" outlineLevel="0" collapsed="false">
      <c r="A124" s="53"/>
      <c r="B124" s="53"/>
      <c r="C124" s="53"/>
      <c r="D124" s="124" t="n">
        <f aca="false">SUM($C$17:C124)</f>
        <v>90250</v>
      </c>
      <c r="E124" s="125" t="str">
        <f aca="false">IF($B$5=0,"-",D124/$B$5)</f>
        <v>-</v>
      </c>
      <c r="F124" s="53"/>
      <c r="G124" s="53"/>
    </row>
    <row r="125" customFormat="false" ht="21.75" hidden="false" customHeight="true" outlineLevel="0" collapsed="false">
      <c r="A125" s="54"/>
      <c r="B125" s="54"/>
      <c r="C125" s="54"/>
      <c r="D125" s="128" t="n">
        <f aca="false">SUM($C$17:C125)</f>
        <v>90250</v>
      </c>
      <c r="E125" s="129" t="str">
        <f aca="false">IF($B$5=0,"-",D125/$B$5)</f>
        <v>-</v>
      </c>
      <c r="F125" s="54"/>
      <c r="G125" s="54"/>
    </row>
    <row r="126" customFormat="false" ht="21.75" hidden="false" customHeight="true" outlineLevel="0" collapsed="false">
      <c r="A126" s="53"/>
      <c r="B126" s="53"/>
      <c r="C126" s="53"/>
      <c r="D126" s="124" t="n">
        <f aca="false">SUM($C$17:C126)</f>
        <v>90250</v>
      </c>
      <c r="E126" s="125" t="str">
        <f aca="false">IF($B$5=0,"-",D126/$B$5)</f>
        <v>-</v>
      </c>
      <c r="F126" s="53"/>
      <c r="G126" s="53"/>
    </row>
    <row r="127" customFormat="false" ht="21.75" hidden="false" customHeight="true" outlineLevel="0" collapsed="false">
      <c r="A127" s="54"/>
      <c r="B127" s="54"/>
      <c r="C127" s="54"/>
      <c r="D127" s="128" t="n">
        <f aca="false">SUM($C$17:C127)</f>
        <v>90250</v>
      </c>
      <c r="E127" s="129" t="str">
        <f aca="false">IF($B$5=0,"-",D127/$B$5)</f>
        <v>-</v>
      </c>
      <c r="F127" s="54"/>
      <c r="G127" s="54"/>
    </row>
    <row r="128" customFormat="false" ht="21.75" hidden="false" customHeight="true" outlineLevel="0" collapsed="false">
      <c r="A128" s="53"/>
      <c r="B128" s="53"/>
      <c r="C128" s="53"/>
      <c r="D128" s="124" t="n">
        <f aca="false">SUM($C$17:C128)</f>
        <v>90250</v>
      </c>
      <c r="E128" s="125" t="str">
        <f aca="false">IF($B$5=0,"-",D128/$B$5)</f>
        <v>-</v>
      </c>
      <c r="F128" s="53"/>
      <c r="G128" s="53"/>
    </row>
    <row r="129" customFormat="false" ht="21.75" hidden="false" customHeight="true" outlineLevel="0" collapsed="false">
      <c r="A129" s="54"/>
      <c r="B129" s="54"/>
      <c r="C129" s="54"/>
      <c r="D129" s="128" t="n">
        <f aca="false">SUM($C$17:C129)</f>
        <v>90250</v>
      </c>
      <c r="E129" s="129" t="str">
        <f aca="false">IF($B$5=0,"-",D129/$B$5)</f>
        <v>-</v>
      </c>
      <c r="F129" s="54"/>
      <c r="G129" s="54"/>
    </row>
    <row r="130" customFormat="false" ht="21.75" hidden="false" customHeight="true" outlineLevel="0" collapsed="false">
      <c r="A130" s="53"/>
      <c r="B130" s="53"/>
      <c r="C130" s="53"/>
      <c r="D130" s="124" t="n">
        <f aca="false">SUM($C$17:C130)</f>
        <v>90250</v>
      </c>
      <c r="E130" s="125" t="str">
        <f aca="false">IF($B$5=0,"-",D130/$B$5)</f>
        <v>-</v>
      </c>
      <c r="F130" s="53"/>
      <c r="G130" s="53"/>
    </row>
    <row r="131" customFormat="false" ht="21.75" hidden="false" customHeight="true" outlineLevel="0" collapsed="false">
      <c r="A131" s="54"/>
      <c r="B131" s="54"/>
      <c r="C131" s="54"/>
      <c r="D131" s="128" t="n">
        <f aca="false">SUM($C$17:C131)</f>
        <v>90250</v>
      </c>
      <c r="E131" s="129" t="str">
        <f aca="false">IF($B$5=0,"-",D131/$B$5)</f>
        <v>-</v>
      </c>
      <c r="F131" s="54"/>
      <c r="G131" s="54"/>
    </row>
    <row r="132" customFormat="false" ht="21.75" hidden="false" customHeight="true" outlineLevel="0" collapsed="false">
      <c r="A132" s="53"/>
      <c r="B132" s="53"/>
      <c r="C132" s="53"/>
      <c r="D132" s="124" t="n">
        <f aca="false">SUM($C$17:C132)</f>
        <v>90250</v>
      </c>
      <c r="E132" s="125" t="str">
        <f aca="false">IF($B$5=0,"-",D132/$B$5)</f>
        <v>-</v>
      </c>
      <c r="F132" s="53"/>
      <c r="G132" s="53"/>
    </row>
    <row r="133" customFormat="false" ht="21.75" hidden="false" customHeight="true" outlineLevel="0" collapsed="false">
      <c r="A133" s="54"/>
      <c r="B133" s="54"/>
      <c r="C133" s="54"/>
      <c r="D133" s="128" t="n">
        <f aca="false">SUM($C$17:C133)</f>
        <v>90250</v>
      </c>
      <c r="E133" s="129" t="str">
        <f aca="false">IF($B$5=0,"-",D133/$B$5)</f>
        <v>-</v>
      </c>
      <c r="F133" s="54"/>
      <c r="G133" s="54"/>
    </row>
    <row r="134" customFormat="false" ht="21.75" hidden="false" customHeight="true" outlineLevel="0" collapsed="false">
      <c r="A134" s="53"/>
      <c r="B134" s="53"/>
      <c r="C134" s="53"/>
      <c r="D134" s="124" t="n">
        <f aca="false">SUM($C$17:C134)</f>
        <v>90250</v>
      </c>
      <c r="E134" s="125" t="str">
        <f aca="false">IF($B$5=0,"-",D134/$B$5)</f>
        <v>-</v>
      </c>
      <c r="F134" s="53"/>
      <c r="G134" s="53"/>
    </row>
    <row r="135" customFormat="false" ht="21.75" hidden="false" customHeight="true" outlineLevel="0" collapsed="false">
      <c r="A135" s="54"/>
      <c r="B135" s="54"/>
      <c r="C135" s="54"/>
      <c r="D135" s="128" t="n">
        <f aca="false">SUM($C$17:C135)</f>
        <v>90250</v>
      </c>
      <c r="E135" s="129" t="str">
        <f aca="false">IF($B$5=0,"-",D135/$B$5)</f>
        <v>-</v>
      </c>
      <c r="F135" s="54"/>
      <c r="G135" s="54"/>
    </row>
    <row r="136" customFormat="false" ht="21.75" hidden="false" customHeight="true" outlineLevel="0" collapsed="false">
      <c r="A136" s="53"/>
      <c r="B136" s="53"/>
      <c r="C136" s="53"/>
      <c r="D136" s="124" t="n">
        <f aca="false">SUM($C$17:C136)</f>
        <v>90250</v>
      </c>
      <c r="E136" s="125" t="str">
        <f aca="false">IF($B$5=0,"-",D136/$B$5)</f>
        <v>-</v>
      </c>
      <c r="F136" s="53"/>
      <c r="G136" s="53"/>
    </row>
    <row r="137" customFormat="false" ht="21.75" hidden="false" customHeight="true" outlineLevel="0" collapsed="false">
      <c r="A137" s="54"/>
      <c r="B137" s="54"/>
      <c r="C137" s="54"/>
      <c r="D137" s="128" t="n">
        <f aca="false">SUM($C$17:C137)</f>
        <v>90250</v>
      </c>
      <c r="E137" s="129" t="str">
        <f aca="false">IF($B$5=0,"-",D137/$B$5)</f>
        <v>-</v>
      </c>
      <c r="F137" s="54"/>
      <c r="G137" s="54"/>
    </row>
    <row r="138" customFormat="false" ht="21.75" hidden="false" customHeight="true" outlineLevel="0" collapsed="false">
      <c r="A138" s="53"/>
      <c r="B138" s="53"/>
      <c r="C138" s="53"/>
      <c r="D138" s="124" t="n">
        <f aca="false">SUM($C$17:C138)</f>
        <v>90250</v>
      </c>
      <c r="E138" s="125" t="str">
        <f aca="false">IF($B$5=0,"-",D138/$B$5)</f>
        <v>-</v>
      </c>
      <c r="F138" s="53"/>
      <c r="G138" s="53"/>
    </row>
    <row r="139" customFormat="false" ht="21.75" hidden="false" customHeight="true" outlineLevel="0" collapsed="false">
      <c r="A139" s="54"/>
      <c r="B139" s="54"/>
      <c r="C139" s="54"/>
      <c r="D139" s="128" t="n">
        <f aca="false">SUM($C$17:C139)</f>
        <v>90250</v>
      </c>
      <c r="E139" s="129" t="str">
        <f aca="false">IF($B$5=0,"-",D139/$B$5)</f>
        <v>-</v>
      </c>
      <c r="F139" s="54"/>
      <c r="G139" s="54"/>
    </row>
    <row r="140" customFormat="false" ht="21.75" hidden="false" customHeight="true" outlineLevel="0" collapsed="false">
      <c r="A140" s="53"/>
      <c r="B140" s="53"/>
      <c r="C140" s="53"/>
      <c r="D140" s="124" t="n">
        <f aca="false">SUM($C$17:C140)</f>
        <v>90250</v>
      </c>
      <c r="E140" s="125" t="str">
        <f aca="false">IF($B$5=0,"-",D140/$B$5)</f>
        <v>-</v>
      </c>
      <c r="F140" s="53"/>
      <c r="G140" s="53"/>
    </row>
    <row r="141" customFormat="false" ht="21.75" hidden="false" customHeight="true" outlineLevel="0" collapsed="false">
      <c r="A141" s="54"/>
      <c r="B141" s="54"/>
      <c r="C141" s="54"/>
      <c r="D141" s="128" t="n">
        <f aca="false">SUM($C$17:C141)</f>
        <v>90250</v>
      </c>
      <c r="E141" s="129" t="str">
        <f aca="false">IF($B$5=0,"-",D141/$B$5)</f>
        <v>-</v>
      </c>
      <c r="F141" s="54"/>
      <c r="G141" s="54"/>
    </row>
    <row r="142" customFormat="false" ht="21.75" hidden="false" customHeight="true" outlineLevel="0" collapsed="false">
      <c r="A142" s="53"/>
      <c r="B142" s="53"/>
      <c r="C142" s="53"/>
      <c r="D142" s="124" t="n">
        <f aca="false">SUM($C$17:C142)</f>
        <v>90250</v>
      </c>
      <c r="E142" s="125" t="str">
        <f aca="false">IF($B$5=0,"-",D142/$B$5)</f>
        <v>-</v>
      </c>
      <c r="F142" s="53"/>
      <c r="G142" s="53"/>
    </row>
    <row r="143" customFormat="false" ht="21.75" hidden="false" customHeight="true" outlineLevel="0" collapsed="false">
      <c r="A143" s="54"/>
      <c r="B143" s="54"/>
      <c r="C143" s="54"/>
      <c r="D143" s="128" t="n">
        <f aca="false">SUM($C$17:C143)</f>
        <v>90250</v>
      </c>
      <c r="E143" s="129" t="str">
        <f aca="false">IF($B$5=0,"-",D143/$B$5)</f>
        <v>-</v>
      </c>
      <c r="F143" s="54"/>
      <c r="G143" s="54"/>
    </row>
    <row r="144" customFormat="false" ht="21.75" hidden="false" customHeight="true" outlineLevel="0" collapsed="false">
      <c r="A144" s="53"/>
      <c r="B144" s="53"/>
      <c r="C144" s="53"/>
      <c r="D144" s="124" t="n">
        <f aca="false">SUM($C$17:C144)</f>
        <v>90250</v>
      </c>
      <c r="E144" s="125" t="str">
        <f aca="false">IF($B$5=0,"-",D144/$B$5)</f>
        <v>-</v>
      </c>
      <c r="F144" s="53"/>
      <c r="G144" s="53"/>
    </row>
    <row r="145" customFormat="false" ht="21.75" hidden="false" customHeight="true" outlineLevel="0" collapsed="false">
      <c r="A145" s="54"/>
      <c r="B145" s="54"/>
      <c r="C145" s="54"/>
      <c r="D145" s="128" t="n">
        <f aca="false">SUM($C$17:C145)</f>
        <v>90250</v>
      </c>
      <c r="E145" s="129" t="str">
        <f aca="false">IF($B$5=0,"-",D145/$B$5)</f>
        <v>-</v>
      </c>
      <c r="F145" s="54"/>
      <c r="G145" s="54"/>
    </row>
    <row r="146" customFormat="false" ht="21.75" hidden="false" customHeight="true" outlineLevel="0" collapsed="false">
      <c r="A146" s="53"/>
      <c r="B146" s="53"/>
      <c r="C146" s="53"/>
      <c r="D146" s="124" t="n">
        <f aca="false">SUM($C$17:C146)</f>
        <v>90250</v>
      </c>
      <c r="E146" s="125" t="str">
        <f aca="false">IF($B$5=0,"-",D146/$B$5)</f>
        <v>-</v>
      </c>
      <c r="F146" s="53"/>
      <c r="G146" s="53"/>
    </row>
    <row r="147" customFormat="false" ht="21.75" hidden="false" customHeight="true" outlineLevel="0" collapsed="false">
      <c r="A147" s="54"/>
      <c r="B147" s="54"/>
      <c r="C147" s="54"/>
      <c r="D147" s="128" t="n">
        <f aca="false">SUM($C$17:C147)</f>
        <v>90250</v>
      </c>
      <c r="E147" s="129" t="str">
        <f aca="false">IF($B$5=0,"-",D147/$B$5)</f>
        <v>-</v>
      </c>
      <c r="F147" s="54"/>
      <c r="G147" s="54"/>
    </row>
    <row r="148" customFormat="false" ht="21.75" hidden="false" customHeight="true" outlineLevel="0" collapsed="false">
      <c r="A148" s="53"/>
      <c r="B148" s="53"/>
      <c r="C148" s="53"/>
      <c r="D148" s="124" t="n">
        <f aca="false">SUM($C$17:C148)</f>
        <v>90250</v>
      </c>
      <c r="E148" s="125" t="str">
        <f aca="false">IF($B$5=0,"-",D148/$B$5)</f>
        <v>-</v>
      </c>
      <c r="F148" s="53"/>
      <c r="G148" s="53"/>
    </row>
    <row r="149" customFormat="false" ht="21.75" hidden="false" customHeight="true" outlineLevel="0" collapsed="false">
      <c r="A149" s="54"/>
      <c r="B149" s="54"/>
      <c r="C149" s="54"/>
      <c r="D149" s="128" t="n">
        <f aca="false">SUM($C$17:C149)</f>
        <v>90250</v>
      </c>
      <c r="E149" s="129" t="str">
        <f aca="false">IF($B$5=0,"-",D149/$B$5)</f>
        <v>-</v>
      </c>
      <c r="F149" s="54"/>
      <c r="G149" s="54"/>
    </row>
    <row r="150" customFormat="false" ht="21.75" hidden="false" customHeight="true" outlineLevel="0" collapsed="false">
      <c r="A150" s="53"/>
      <c r="B150" s="53"/>
      <c r="C150" s="53"/>
      <c r="D150" s="124" t="n">
        <f aca="false">SUM($C$17:C150)</f>
        <v>90250</v>
      </c>
      <c r="E150" s="125" t="str">
        <f aca="false">IF($B$5=0,"-",D150/$B$5)</f>
        <v>-</v>
      </c>
      <c r="F150" s="53"/>
      <c r="G150" s="53"/>
    </row>
    <row r="151" customFormat="false" ht="21.75" hidden="false" customHeight="true" outlineLevel="0" collapsed="false">
      <c r="A151" s="54"/>
      <c r="B151" s="54"/>
      <c r="C151" s="54"/>
      <c r="D151" s="128" t="n">
        <f aca="false">SUM($C$17:C151)</f>
        <v>90250</v>
      </c>
      <c r="E151" s="129" t="str">
        <f aca="false">IF($B$5=0,"-",D151/$B$5)</f>
        <v>-</v>
      </c>
      <c r="F151" s="54"/>
      <c r="G151" s="54"/>
    </row>
    <row r="152" customFormat="false" ht="21.75" hidden="false" customHeight="true" outlineLevel="0" collapsed="false">
      <c r="A152" s="53"/>
      <c r="B152" s="53"/>
      <c r="C152" s="53"/>
      <c r="D152" s="124" t="n">
        <f aca="false">SUM($C$17:C152)</f>
        <v>90250</v>
      </c>
      <c r="E152" s="125" t="str">
        <f aca="false">IF($B$5=0,"-",D152/$B$5)</f>
        <v>-</v>
      </c>
      <c r="F152" s="53"/>
      <c r="G152" s="53"/>
    </row>
    <row r="153" customFormat="false" ht="21.75" hidden="false" customHeight="true" outlineLevel="0" collapsed="false">
      <c r="A153" s="54"/>
      <c r="B153" s="54"/>
      <c r="C153" s="54"/>
      <c r="D153" s="128" t="n">
        <f aca="false">SUM($C$17:C153)</f>
        <v>90250</v>
      </c>
      <c r="E153" s="129" t="str">
        <f aca="false">IF($B$5=0,"-",D153/$B$5)</f>
        <v>-</v>
      </c>
      <c r="F153" s="54"/>
      <c r="G153" s="54"/>
    </row>
    <row r="154" customFormat="false" ht="21.75" hidden="false" customHeight="true" outlineLevel="0" collapsed="false">
      <c r="A154" s="53"/>
      <c r="B154" s="53"/>
      <c r="C154" s="53"/>
      <c r="D154" s="124" t="n">
        <f aca="false">SUM($C$17:C154)</f>
        <v>90250</v>
      </c>
      <c r="E154" s="125" t="str">
        <f aca="false">IF($B$5=0,"-",D154/$B$5)</f>
        <v>-</v>
      </c>
      <c r="F154" s="53"/>
      <c r="G154" s="53"/>
    </row>
    <row r="155" customFormat="false" ht="21.75" hidden="false" customHeight="true" outlineLevel="0" collapsed="false">
      <c r="A155" s="54"/>
      <c r="B155" s="54"/>
      <c r="C155" s="54"/>
      <c r="D155" s="128" t="n">
        <f aca="false">SUM($C$17:C155)</f>
        <v>90250</v>
      </c>
      <c r="E155" s="129" t="str">
        <f aca="false">IF($B$5=0,"-",D155/$B$5)</f>
        <v>-</v>
      </c>
      <c r="F155" s="54"/>
      <c r="G155" s="54"/>
    </row>
    <row r="156" customFormat="false" ht="21.75" hidden="false" customHeight="true" outlineLevel="0" collapsed="false">
      <c r="A156" s="53"/>
      <c r="B156" s="53"/>
      <c r="C156" s="53"/>
      <c r="D156" s="124" t="n">
        <f aca="false">SUM($C$17:C156)</f>
        <v>90250</v>
      </c>
      <c r="E156" s="125" t="str">
        <f aca="false">IF($B$5=0,"-",D156/$B$5)</f>
        <v>-</v>
      </c>
      <c r="F156" s="53"/>
      <c r="G156" s="53"/>
    </row>
    <row r="157" customFormat="false" ht="21.75" hidden="false" customHeight="true" outlineLevel="0" collapsed="false">
      <c r="A157" s="54"/>
      <c r="B157" s="54"/>
      <c r="C157" s="54"/>
      <c r="D157" s="128" t="n">
        <f aca="false">SUM($C$17:C157)</f>
        <v>90250</v>
      </c>
      <c r="E157" s="129" t="str">
        <f aca="false">IF($B$5=0,"-",D157/$B$5)</f>
        <v>-</v>
      </c>
      <c r="F157" s="54"/>
      <c r="G157" s="54"/>
    </row>
    <row r="158" customFormat="false" ht="21.75" hidden="false" customHeight="true" outlineLevel="0" collapsed="false">
      <c r="A158" s="53"/>
      <c r="B158" s="53"/>
      <c r="C158" s="53"/>
      <c r="D158" s="124" t="n">
        <f aca="false">SUM($C$17:C158)</f>
        <v>90250</v>
      </c>
      <c r="E158" s="125" t="str">
        <f aca="false">IF($B$5=0,"-",D158/$B$5)</f>
        <v>-</v>
      </c>
      <c r="F158" s="53"/>
      <c r="G158" s="53"/>
    </row>
    <row r="159" customFormat="false" ht="21.75" hidden="false" customHeight="true" outlineLevel="0" collapsed="false">
      <c r="A159" s="54"/>
      <c r="B159" s="54"/>
      <c r="C159" s="54"/>
      <c r="D159" s="128" t="n">
        <f aca="false">SUM($C$17:C159)</f>
        <v>90250</v>
      </c>
      <c r="E159" s="129" t="str">
        <f aca="false">IF($B$5=0,"-",D159/$B$5)</f>
        <v>-</v>
      </c>
      <c r="F159" s="54"/>
      <c r="G159" s="54"/>
    </row>
    <row r="160" customFormat="false" ht="21.75" hidden="false" customHeight="true" outlineLevel="0" collapsed="false">
      <c r="A160" s="53"/>
      <c r="B160" s="53"/>
      <c r="C160" s="53"/>
      <c r="D160" s="124" t="n">
        <f aca="false">SUM($C$17:C160)</f>
        <v>90250</v>
      </c>
      <c r="E160" s="125" t="str">
        <f aca="false">IF($B$5=0,"-",D160/$B$5)</f>
        <v>-</v>
      </c>
      <c r="F160" s="53"/>
      <c r="G160" s="53"/>
    </row>
    <row r="161" customFormat="false" ht="21.75" hidden="false" customHeight="true" outlineLevel="0" collapsed="false">
      <c r="A161" s="54"/>
      <c r="B161" s="54"/>
      <c r="C161" s="54"/>
      <c r="D161" s="128" t="n">
        <f aca="false">SUM($C$17:C161)</f>
        <v>90250</v>
      </c>
      <c r="E161" s="129" t="str">
        <f aca="false">IF($B$5=0,"-",D161/$B$5)</f>
        <v>-</v>
      </c>
      <c r="F161" s="54"/>
      <c r="G161" s="54"/>
    </row>
    <row r="162" customFormat="false" ht="21.75" hidden="false" customHeight="true" outlineLevel="0" collapsed="false">
      <c r="A162" s="53"/>
      <c r="B162" s="53"/>
      <c r="C162" s="53"/>
      <c r="D162" s="124" t="n">
        <f aca="false">SUM($C$17:C162)</f>
        <v>90250</v>
      </c>
      <c r="E162" s="125" t="str">
        <f aca="false">IF($B$5=0,"-",D162/$B$5)</f>
        <v>-</v>
      </c>
      <c r="F162" s="53"/>
      <c r="G162" s="53"/>
    </row>
    <row r="163" customFormat="false" ht="21.75" hidden="false" customHeight="true" outlineLevel="0" collapsed="false">
      <c r="A163" s="54"/>
      <c r="B163" s="54"/>
      <c r="C163" s="54"/>
      <c r="D163" s="128" t="n">
        <f aca="false">SUM($C$17:C163)</f>
        <v>90250</v>
      </c>
      <c r="E163" s="129" t="str">
        <f aca="false">IF($B$5=0,"-",D163/$B$5)</f>
        <v>-</v>
      </c>
      <c r="F163" s="54"/>
      <c r="G163" s="54"/>
    </row>
    <row r="164" customFormat="false" ht="21.75" hidden="false" customHeight="true" outlineLevel="0" collapsed="false">
      <c r="A164" s="53"/>
      <c r="B164" s="53"/>
      <c r="C164" s="53"/>
      <c r="D164" s="124" t="n">
        <f aca="false">SUM($C$17:C164)</f>
        <v>90250</v>
      </c>
      <c r="E164" s="125" t="str">
        <f aca="false">IF($B$5=0,"-",D164/$B$5)</f>
        <v>-</v>
      </c>
      <c r="F164" s="53"/>
      <c r="G164" s="53"/>
    </row>
    <row r="165" customFormat="false" ht="21.75" hidden="false" customHeight="true" outlineLevel="0" collapsed="false">
      <c r="A165" s="54"/>
      <c r="B165" s="54"/>
      <c r="C165" s="54"/>
      <c r="D165" s="128" t="n">
        <f aca="false">SUM($C$17:C165)</f>
        <v>90250</v>
      </c>
      <c r="E165" s="129" t="str">
        <f aca="false">IF($B$5=0,"-",D165/$B$5)</f>
        <v>-</v>
      </c>
      <c r="F165" s="54"/>
      <c r="G165" s="54"/>
    </row>
    <row r="166" customFormat="false" ht="21.75" hidden="false" customHeight="true" outlineLevel="0" collapsed="false">
      <c r="A166" s="53"/>
      <c r="B166" s="53"/>
      <c r="C166" s="53"/>
      <c r="D166" s="124" t="n">
        <f aca="false">SUM($C$17:C166)</f>
        <v>90250</v>
      </c>
      <c r="E166" s="125" t="str">
        <f aca="false">IF($B$5=0,"-",D166/$B$5)</f>
        <v>-</v>
      </c>
      <c r="F166" s="53"/>
      <c r="G166" s="53"/>
    </row>
    <row r="167" customFormat="false" ht="21.75" hidden="false" customHeight="true" outlineLevel="0" collapsed="false">
      <c r="A167" s="54"/>
      <c r="B167" s="54"/>
      <c r="C167" s="54"/>
      <c r="D167" s="128" t="n">
        <f aca="false">SUM($C$17:C167)</f>
        <v>90250</v>
      </c>
      <c r="E167" s="129" t="str">
        <f aca="false">IF($B$5=0,"-",D167/$B$5)</f>
        <v>-</v>
      </c>
      <c r="F167" s="54"/>
      <c r="G167" s="54"/>
    </row>
    <row r="168" customFormat="false" ht="21.75" hidden="false" customHeight="true" outlineLevel="0" collapsed="false">
      <c r="A168" s="53"/>
      <c r="B168" s="53"/>
      <c r="C168" s="53"/>
      <c r="D168" s="124" t="n">
        <f aca="false">SUM($C$17:C168)</f>
        <v>90250</v>
      </c>
      <c r="E168" s="125" t="str">
        <f aca="false">IF($B$5=0,"-",D168/$B$5)</f>
        <v>-</v>
      </c>
      <c r="F168" s="53"/>
      <c r="G168" s="53"/>
    </row>
    <row r="169" customFormat="false" ht="21.75" hidden="false" customHeight="true" outlineLevel="0" collapsed="false">
      <c r="A169" s="54"/>
      <c r="B169" s="54"/>
      <c r="C169" s="54"/>
      <c r="D169" s="128" t="n">
        <f aca="false">SUM($C$17:C169)</f>
        <v>90250</v>
      </c>
      <c r="E169" s="129" t="str">
        <f aca="false">IF($B$5=0,"-",D169/$B$5)</f>
        <v>-</v>
      </c>
      <c r="F169" s="54"/>
      <c r="G169" s="54"/>
    </row>
    <row r="170" customFormat="false" ht="21.75" hidden="false" customHeight="true" outlineLevel="0" collapsed="false">
      <c r="A170" s="53"/>
      <c r="B170" s="53"/>
      <c r="C170" s="53"/>
      <c r="D170" s="124" t="n">
        <f aca="false">SUM($C$17:C170)</f>
        <v>90250</v>
      </c>
      <c r="E170" s="125" t="str">
        <f aca="false">IF($B$5=0,"-",D170/$B$5)</f>
        <v>-</v>
      </c>
      <c r="F170" s="53"/>
      <c r="G170" s="53"/>
    </row>
    <row r="171" customFormat="false" ht="21.75" hidden="false" customHeight="true" outlineLevel="0" collapsed="false">
      <c r="A171" s="54"/>
      <c r="B171" s="54"/>
      <c r="C171" s="54"/>
      <c r="D171" s="128" t="n">
        <f aca="false">SUM($C$17:C171)</f>
        <v>90250</v>
      </c>
      <c r="E171" s="129" t="str">
        <f aca="false">IF($B$5=0,"-",D171/$B$5)</f>
        <v>-</v>
      </c>
      <c r="F171" s="54"/>
      <c r="G171" s="54"/>
    </row>
    <row r="172" customFormat="false" ht="21.75" hidden="false" customHeight="true" outlineLevel="0" collapsed="false">
      <c r="A172" s="53"/>
      <c r="B172" s="53"/>
      <c r="C172" s="53"/>
      <c r="D172" s="124" t="n">
        <f aca="false">SUM($C$17:C172)</f>
        <v>90250</v>
      </c>
      <c r="E172" s="125" t="str">
        <f aca="false">IF($B$5=0,"-",D172/$B$5)</f>
        <v>-</v>
      </c>
      <c r="F172" s="53"/>
      <c r="G172" s="53"/>
    </row>
    <row r="173" customFormat="false" ht="21.75" hidden="false" customHeight="true" outlineLevel="0" collapsed="false">
      <c r="A173" s="54"/>
      <c r="B173" s="54"/>
      <c r="C173" s="54"/>
      <c r="D173" s="128" t="n">
        <f aca="false">SUM($C$17:C173)</f>
        <v>90250</v>
      </c>
      <c r="E173" s="129" t="str">
        <f aca="false">IF($B$5=0,"-",D173/$B$5)</f>
        <v>-</v>
      </c>
      <c r="F173" s="54"/>
      <c r="G173" s="54"/>
    </row>
    <row r="174" customFormat="false" ht="21.75" hidden="false" customHeight="true" outlineLevel="0" collapsed="false">
      <c r="A174" s="53"/>
      <c r="B174" s="53"/>
      <c r="C174" s="53"/>
      <c r="D174" s="124" t="n">
        <f aca="false">SUM($C$17:C174)</f>
        <v>90250</v>
      </c>
      <c r="E174" s="125" t="str">
        <f aca="false">IF($B$5=0,"-",D174/$B$5)</f>
        <v>-</v>
      </c>
      <c r="F174" s="53"/>
      <c r="G174" s="53"/>
    </row>
    <row r="175" customFormat="false" ht="21.75" hidden="false" customHeight="true" outlineLevel="0" collapsed="false">
      <c r="A175" s="54"/>
      <c r="B175" s="54"/>
      <c r="C175" s="54"/>
      <c r="D175" s="128" t="n">
        <f aca="false">SUM($C$17:C175)</f>
        <v>90250</v>
      </c>
      <c r="E175" s="129" t="str">
        <f aca="false">IF($B$5=0,"-",D175/$B$5)</f>
        <v>-</v>
      </c>
      <c r="F175" s="54"/>
      <c r="G175" s="54"/>
    </row>
    <row r="176" customFormat="false" ht="21.75" hidden="false" customHeight="true" outlineLevel="0" collapsed="false">
      <c r="A176" s="53"/>
      <c r="B176" s="53"/>
      <c r="C176" s="53"/>
      <c r="D176" s="124" t="n">
        <f aca="false">SUM($C$17:C176)</f>
        <v>90250</v>
      </c>
      <c r="E176" s="125" t="str">
        <f aca="false">IF($B$5=0,"-",D176/$B$5)</f>
        <v>-</v>
      </c>
      <c r="F176" s="53"/>
      <c r="G176" s="53"/>
    </row>
    <row r="177" customFormat="false" ht="21.75" hidden="false" customHeight="true" outlineLevel="0" collapsed="false">
      <c r="A177" s="54"/>
      <c r="B177" s="54"/>
      <c r="C177" s="54"/>
      <c r="D177" s="128" t="n">
        <f aca="false">SUM($C$17:C177)</f>
        <v>90250</v>
      </c>
      <c r="E177" s="129" t="str">
        <f aca="false">IF($B$5=0,"-",D177/$B$5)</f>
        <v>-</v>
      </c>
      <c r="F177" s="54"/>
      <c r="G177" s="54"/>
    </row>
    <row r="178" customFormat="false" ht="21.75" hidden="false" customHeight="true" outlineLevel="0" collapsed="false">
      <c r="A178" s="53"/>
      <c r="B178" s="53"/>
      <c r="C178" s="53"/>
      <c r="D178" s="124" t="n">
        <f aca="false">SUM($C$17:C178)</f>
        <v>90250</v>
      </c>
      <c r="E178" s="125" t="str">
        <f aca="false">IF($B$5=0,"-",D178/$B$5)</f>
        <v>-</v>
      </c>
      <c r="F178" s="53"/>
      <c r="G178" s="53"/>
    </row>
    <row r="179" customFormat="false" ht="21.75" hidden="false" customHeight="true" outlineLevel="0" collapsed="false">
      <c r="A179" s="54"/>
      <c r="B179" s="54"/>
      <c r="C179" s="54"/>
      <c r="D179" s="128" t="n">
        <f aca="false">SUM($C$17:C179)</f>
        <v>90250</v>
      </c>
      <c r="E179" s="129" t="str">
        <f aca="false">IF($B$5=0,"-",D179/$B$5)</f>
        <v>-</v>
      </c>
      <c r="F179" s="54"/>
      <c r="G179" s="54"/>
    </row>
    <row r="180" customFormat="false" ht="21.75" hidden="false" customHeight="true" outlineLevel="0" collapsed="false">
      <c r="A180" s="53"/>
      <c r="B180" s="53"/>
      <c r="C180" s="53"/>
      <c r="D180" s="124" t="n">
        <f aca="false">SUM($C$17:C180)</f>
        <v>90250</v>
      </c>
      <c r="E180" s="125" t="str">
        <f aca="false">IF($B$5=0,"-",D180/$B$5)</f>
        <v>-</v>
      </c>
      <c r="F180" s="53"/>
      <c r="G180" s="53"/>
    </row>
    <row r="181" customFormat="false" ht="21.75" hidden="false" customHeight="true" outlineLevel="0" collapsed="false">
      <c r="A181" s="54"/>
      <c r="B181" s="54"/>
      <c r="C181" s="54"/>
      <c r="D181" s="128" t="n">
        <f aca="false">SUM($C$17:C181)</f>
        <v>90250</v>
      </c>
      <c r="E181" s="129" t="str">
        <f aca="false">IF($B$5=0,"-",D181/$B$5)</f>
        <v>-</v>
      </c>
      <c r="F181" s="54"/>
      <c r="G181" s="54"/>
    </row>
    <row r="182" customFormat="false" ht="21.75" hidden="false" customHeight="true" outlineLevel="0" collapsed="false">
      <c r="A182" s="53"/>
      <c r="B182" s="53"/>
      <c r="C182" s="53"/>
      <c r="D182" s="124" t="n">
        <f aca="false">SUM($C$17:C182)</f>
        <v>90250</v>
      </c>
      <c r="E182" s="125" t="str">
        <f aca="false">IF($B$5=0,"-",D182/$B$5)</f>
        <v>-</v>
      </c>
      <c r="F182" s="53"/>
      <c r="G182" s="53"/>
    </row>
    <row r="183" customFormat="false" ht="21.75" hidden="false" customHeight="true" outlineLevel="0" collapsed="false">
      <c r="A183" s="54"/>
      <c r="B183" s="54"/>
      <c r="C183" s="54"/>
      <c r="D183" s="128" t="n">
        <f aca="false">SUM($C$17:C183)</f>
        <v>90250</v>
      </c>
      <c r="E183" s="129" t="str">
        <f aca="false">IF($B$5=0,"-",D183/$B$5)</f>
        <v>-</v>
      </c>
      <c r="F183" s="54"/>
      <c r="G183" s="54"/>
    </row>
    <row r="184" customFormat="false" ht="21.75" hidden="false" customHeight="true" outlineLevel="0" collapsed="false">
      <c r="A184" s="53"/>
      <c r="B184" s="53"/>
      <c r="C184" s="53"/>
      <c r="D184" s="124" t="n">
        <f aca="false">SUM($C$17:C184)</f>
        <v>90250</v>
      </c>
      <c r="E184" s="125" t="str">
        <f aca="false">IF($B$5=0,"-",D184/$B$5)</f>
        <v>-</v>
      </c>
      <c r="F184" s="53"/>
      <c r="G184" s="53"/>
    </row>
    <row r="185" customFormat="false" ht="21.75" hidden="false" customHeight="true" outlineLevel="0" collapsed="false">
      <c r="A185" s="54"/>
      <c r="B185" s="54"/>
      <c r="C185" s="54"/>
      <c r="D185" s="128" t="n">
        <f aca="false">SUM($C$17:C185)</f>
        <v>90250</v>
      </c>
      <c r="E185" s="129" t="str">
        <f aca="false">IF($B$5=0,"-",D185/$B$5)</f>
        <v>-</v>
      </c>
      <c r="F185" s="54"/>
      <c r="G185" s="54"/>
    </row>
    <row r="186" customFormat="false" ht="21.75" hidden="false" customHeight="true" outlineLevel="0" collapsed="false">
      <c r="A186" s="53"/>
      <c r="B186" s="53"/>
      <c r="C186" s="53"/>
      <c r="D186" s="124" t="n">
        <f aca="false">SUM($C$17:C186)</f>
        <v>90250</v>
      </c>
      <c r="E186" s="125" t="str">
        <f aca="false">IF($B$5=0,"-",D186/$B$5)</f>
        <v>-</v>
      </c>
      <c r="F186" s="53"/>
      <c r="G186" s="53"/>
    </row>
    <row r="187" customFormat="false" ht="21.75" hidden="false" customHeight="true" outlineLevel="0" collapsed="false">
      <c r="A187" s="54"/>
      <c r="B187" s="54"/>
      <c r="C187" s="54"/>
      <c r="D187" s="128" t="n">
        <f aca="false">SUM($C$17:C187)</f>
        <v>90250</v>
      </c>
      <c r="E187" s="129" t="str">
        <f aca="false">IF($B$5=0,"-",D187/$B$5)</f>
        <v>-</v>
      </c>
      <c r="F187" s="54"/>
      <c r="G187" s="54"/>
    </row>
    <row r="188" customFormat="false" ht="21.75" hidden="false" customHeight="true" outlineLevel="0" collapsed="false">
      <c r="A188" s="53"/>
      <c r="B188" s="53"/>
      <c r="C188" s="53"/>
      <c r="D188" s="124" t="n">
        <f aca="false">SUM($C$17:C188)</f>
        <v>90250</v>
      </c>
      <c r="E188" s="125" t="str">
        <f aca="false">IF($B$5=0,"-",D188/$B$5)</f>
        <v>-</v>
      </c>
      <c r="F188" s="53"/>
      <c r="G188" s="53"/>
    </row>
    <row r="189" customFormat="false" ht="21.75" hidden="false" customHeight="true" outlineLevel="0" collapsed="false">
      <c r="A189" s="54"/>
      <c r="B189" s="54"/>
      <c r="C189" s="54"/>
      <c r="D189" s="128" t="n">
        <f aca="false">SUM($C$17:C189)</f>
        <v>90250</v>
      </c>
      <c r="E189" s="129" t="str">
        <f aca="false">IF($B$5=0,"-",D189/$B$5)</f>
        <v>-</v>
      </c>
      <c r="F189" s="54"/>
      <c r="G189" s="54"/>
    </row>
    <row r="190" customFormat="false" ht="21.75" hidden="false" customHeight="true" outlineLevel="0" collapsed="false">
      <c r="A190" s="53"/>
      <c r="B190" s="53"/>
      <c r="C190" s="53"/>
      <c r="D190" s="124" t="n">
        <f aca="false">SUM($C$17:C190)</f>
        <v>90250</v>
      </c>
      <c r="E190" s="125" t="str">
        <f aca="false">IF($B$5=0,"-",D190/$B$5)</f>
        <v>-</v>
      </c>
      <c r="F190" s="53"/>
      <c r="G190" s="53"/>
    </row>
    <row r="191" customFormat="false" ht="21.75" hidden="false" customHeight="true" outlineLevel="0" collapsed="false">
      <c r="A191" s="54"/>
      <c r="B191" s="54"/>
      <c r="C191" s="54"/>
      <c r="D191" s="128" t="n">
        <f aca="false">SUM($C$17:C191)</f>
        <v>90250</v>
      </c>
      <c r="E191" s="129" t="str">
        <f aca="false">IF($B$5=0,"-",D191/$B$5)</f>
        <v>-</v>
      </c>
      <c r="F191" s="54"/>
      <c r="G191" s="54"/>
    </row>
    <row r="192" customFormat="false" ht="21.75" hidden="false" customHeight="true" outlineLevel="0" collapsed="false">
      <c r="A192" s="53"/>
      <c r="B192" s="53"/>
      <c r="C192" s="53"/>
      <c r="D192" s="124" t="n">
        <f aca="false">SUM($C$17:C192)</f>
        <v>90250</v>
      </c>
      <c r="E192" s="125" t="str">
        <f aca="false">IF($B$5=0,"-",D192/$B$5)</f>
        <v>-</v>
      </c>
      <c r="F192" s="53"/>
      <c r="G192" s="53"/>
    </row>
    <row r="193" customFormat="false" ht="21.75" hidden="false" customHeight="true" outlineLevel="0" collapsed="false">
      <c r="A193" s="54"/>
      <c r="B193" s="54"/>
      <c r="C193" s="54"/>
      <c r="D193" s="128" t="n">
        <f aca="false">SUM($C$17:C193)</f>
        <v>90250</v>
      </c>
      <c r="E193" s="129" t="str">
        <f aca="false">IF($B$5=0,"-",D193/$B$5)</f>
        <v>-</v>
      </c>
      <c r="F193" s="54"/>
      <c r="G193" s="54"/>
    </row>
    <row r="194" customFormat="false" ht="21.75" hidden="false" customHeight="true" outlineLevel="0" collapsed="false">
      <c r="A194" s="53"/>
      <c r="B194" s="53"/>
      <c r="C194" s="53"/>
      <c r="D194" s="124" t="n">
        <f aca="false">SUM($C$17:C194)</f>
        <v>90250</v>
      </c>
      <c r="E194" s="125" t="str">
        <f aca="false">IF($B$5=0,"-",D194/$B$5)</f>
        <v>-</v>
      </c>
      <c r="F194" s="53"/>
      <c r="G194" s="53"/>
    </row>
    <row r="195" customFormat="false" ht="21.75" hidden="false" customHeight="true" outlineLevel="0" collapsed="false">
      <c r="A195" s="54"/>
      <c r="B195" s="54"/>
      <c r="C195" s="54"/>
      <c r="D195" s="128" t="n">
        <f aca="false">SUM($C$17:C195)</f>
        <v>90250</v>
      </c>
      <c r="E195" s="129" t="str">
        <f aca="false">IF($B$5=0,"-",D195/$B$5)</f>
        <v>-</v>
      </c>
      <c r="F195" s="54"/>
      <c r="G195" s="54"/>
    </row>
    <row r="196" customFormat="false" ht="21.75" hidden="false" customHeight="true" outlineLevel="0" collapsed="false">
      <c r="A196" s="53"/>
      <c r="B196" s="53"/>
      <c r="C196" s="53"/>
      <c r="D196" s="124" t="n">
        <f aca="false">SUM($C$17:C196)</f>
        <v>90250</v>
      </c>
      <c r="E196" s="125" t="str">
        <f aca="false">IF($B$5=0,"-",D196/$B$5)</f>
        <v>-</v>
      </c>
      <c r="F196" s="53"/>
      <c r="G196" s="53"/>
    </row>
    <row r="197" customFormat="false" ht="21.75" hidden="false" customHeight="true" outlineLevel="0" collapsed="false">
      <c r="A197" s="54"/>
      <c r="B197" s="54"/>
      <c r="C197" s="54"/>
      <c r="D197" s="128" t="n">
        <f aca="false">SUM($C$17:C197)</f>
        <v>90250</v>
      </c>
      <c r="E197" s="129" t="str">
        <f aca="false">IF($B$5=0,"-",D197/$B$5)</f>
        <v>-</v>
      </c>
      <c r="F197" s="54"/>
      <c r="G197" s="54"/>
    </row>
    <row r="198" customFormat="false" ht="21.75" hidden="false" customHeight="true" outlineLevel="0" collapsed="false">
      <c r="A198" s="53"/>
      <c r="B198" s="53"/>
      <c r="C198" s="53"/>
      <c r="D198" s="124" t="n">
        <f aca="false">SUM($C$17:C198)</f>
        <v>90250</v>
      </c>
      <c r="E198" s="125" t="str">
        <f aca="false">IF($B$5=0,"-",D198/$B$5)</f>
        <v>-</v>
      </c>
      <c r="F198" s="53"/>
      <c r="G198" s="53"/>
    </row>
    <row r="199" customFormat="false" ht="21.75" hidden="false" customHeight="true" outlineLevel="0" collapsed="false">
      <c r="A199" s="54"/>
      <c r="B199" s="54"/>
      <c r="C199" s="54"/>
      <c r="D199" s="128" t="n">
        <f aca="false">SUM($C$17:C199)</f>
        <v>90250</v>
      </c>
      <c r="E199" s="129" t="str">
        <f aca="false">IF($B$5=0,"-",D199/$B$5)</f>
        <v>-</v>
      </c>
      <c r="F199" s="54"/>
      <c r="G199" s="54"/>
    </row>
    <row r="200" customFormat="false" ht="21.75" hidden="false" customHeight="true" outlineLevel="0" collapsed="false">
      <c r="A200" s="53"/>
      <c r="B200" s="53"/>
      <c r="C200" s="53"/>
      <c r="D200" s="124" t="n">
        <f aca="false">SUM($C$17:C200)</f>
        <v>90250</v>
      </c>
      <c r="E200" s="125" t="str">
        <f aca="false">IF($B$5=0,"-",D200/$B$5)</f>
        <v>-</v>
      </c>
      <c r="F200" s="53"/>
      <c r="G200" s="53"/>
    </row>
    <row r="201" customFormat="false" ht="21.75" hidden="false" customHeight="true" outlineLevel="0" collapsed="false">
      <c r="A201" s="54"/>
      <c r="B201" s="54"/>
      <c r="C201" s="54"/>
      <c r="D201" s="128" t="n">
        <f aca="false">SUM($C$17:C201)</f>
        <v>90250</v>
      </c>
      <c r="E201" s="129" t="str">
        <f aca="false">IF($B$5=0,"-",D201/$B$5)</f>
        <v>-</v>
      </c>
      <c r="F201" s="54"/>
      <c r="G201" s="54"/>
    </row>
    <row r="202" customFormat="false" ht="21.75" hidden="false" customHeight="true" outlineLevel="0" collapsed="false">
      <c r="A202" s="53"/>
      <c r="B202" s="53"/>
      <c r="C202" s="53"/>
      <c r="D202" s="124" t="n">
        <f aca="false">SUM($C$17:C202)</f>
        <v>90250</v>
      </c>
      <c r="E202" s="125" t="str">
        <f aca="false">IF($B$5=0,"-",D202/$B$5)</f>
        <v>-</v>
      </c>
      <c r="F202" s="53"/>
      <c r="G202" s="53"/>
    </row>
    <row r="203" customFormat="false" ht="21.75" hidden="false" customHeight="true" outlineLevel="0" collapsed="false">
      <c r="A203" s="54"/>
      <c r="B203" s="54"/>
      <c r="C203" s="54"/>
      <c r="D203" s="128" t="n">
        <f aca="false">SUM($C$17:C203)</f>
        <v>90250</v>
      </c>
      <c r="E203" s="129" t="str">
        <f aca="false">IF($B$5=0,"-",D203/$B$5)</f>
        <v>-</v>
      </c>
      <c r="F203" s="54"/>
      <c r="G203" s="54"/>
    </row>
    <row r="204" customFormat="false" ht="21.75" hidden="false" customHeight="true" outlineLevel="0" collapsed="false">
      <c r="A204" s="53"/>
      <c r="B204" s="53"/>
      <c r="C204" s="53"/>
      <c r="D204" s="124" t="n">
        <f aca="false">SUM($C$17:C204)</f>
        <v>90250</v>
      </c>
      <c r="E204" s="125" t="str">
        <f aca="false">IF($B$5=0,"-",D204/$B$5)</f>
        <v>-</v>
      </c>
      <c r="F204" s="53"/>
      <c r="G204" s="53"/>
    </row>
    <row r="205" customFormat="false" ht="21.75" hidden="false" customHeight="true" outlineLevel="0" collapsed="false">
      <c r="A205" s="54"/>
      <c r="B205" s="54"/>
      <c r="C205" s="54"/>
      <c r="D205" s="128" t="n">
        <f aca="false">SUM($C$17:C205)</f>
        <v>90250</v>
      </c>
      <c r="E205" s="129" t="str">
        <f aca="false">IF($B$5=0,"-",D205/$B$5)</f>
        <v>-</v>
      </c>
      <c r="F205" s="54"/>
      <c r="G205" s="54"/>
    </row>
    <row r="206" customFormat="false" ht="21.75" hidden="false" customHeight="true" outlineLevel="0" collapsed="false">
      <c r="A206" s="53"/>
      <c r="B206" s="53"/>
      <c r="C206" s="53"/>
      <c r="D206" s="124" t="n">
        <f aca="false">SUM($C$17:C206)</f>
        <v>90250</v>
      </c>
      <c r="E206" s="125" t="str">
        <f aca="false">IF($B$5=0,"-",D206/$B$5)</f>
        <v>-</v>
      </c>
      <c r="F206" s="53"/>
      <c r="G206" s="53"/>
    </row>
    <row r="208" customFormat="false" ht="24" hidden="false" customHeight="true" outlineLevel="0" collapsed="false">
      <c r="A208" s="55" t="s">
        <v>400</v>
      </c>
      <c r="B208" s="55"/>
      <c r="C208" s="55"/>
      <c r="D208" s="55"/>
      <c r="E208" s="55"/>
      <c r="F208" s="55"/>
      <c r="G208" s="55"/>
    </row>
    <row r="209" customFormat="false" ht="33.75" hidden="false" customHeight="true" outlineLevel="0" collapsed="false">
      <c r="A209" s="56" t="s">
        <v>401</v>
      </c>
      <c r="B209" s="56"/>
      <c r="C209" s="56"/>
      <c r="D209" s="56"/>
      <c r="E209" s="56"/>
      <c r="F209" s="56"/>
      <c r="G209" s="56"/>
    </row>
    <row r="210" customFormat="false" ht="33.75" hidden="false" customHeight="true" outlineLevel="0" collapsed="false">
      <c r="A210" s="73" t="s">
        <v>402</v>
      </c>
      <c r="B210" s="73"/>
      <c r="C210" s="73"/>
      <c r="D210" s="73"/>
      <c r="E210" s="73"/>
      <c r="F210" s="73"/>
      <c r="G210" s="73"/>
    </row>
    <row r="211" customFormat="false" ht="33.75" hidden="false" customHeight="true" outlineLevel="0" collapsed="false">
      <c r="A211" s="56" t="s">
        <v>403</v>
      </c>
      <c r="B211" s="56"/>
      <c r="C211" s="56"/>
      <c r="D211" s="56"/>
      <c r="E211" s="56"/>
      <c r="F211" s="56"/>
      <c r="G211" s="56"/>
    </row>
    <row r="212" customFormat="false" ht="33.75" hidden="false" customHeight="true" outlineLevel="0" collapsed="false">
      <c r="A212" s="73" t="s">
        <v>404</v>
      </c>
      <c r="B212" s="73"/>
      <c r="C212" s="73"/>
      <c r="D212" s="73"/>
      <c r="E212" s="73"/>
      <c r="F212" s="73"/>
      <c r="G212" s="73"/>
    </row>
    <row r="213" customFormat="false" ht="33.75" hidden="false" customHeight="true" outlineLevel="0" collapsed="false">
      <c r="A213" s="56" t="s">
        <v>405</v>
      </c>
      <c r="B213" s="56"/>
      <c r="C213" s="56"/>
      <c r="D213" s="56"/>
      <c r="E213" s="56"/>
      <c r="F213" s="56"/>
      <c r="G213" s="56"/>
    </row>
  </sheetData>
  <mergeCells count="29">
    <mergeCell ref="A1:G1"/>
    <mergeCell ref="A2:G2"/>
    <mergeCell ref="A3:G3"/>
    <mergeCell ref="A4:G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C10:E10"/>
    <mergeCell ref="F10:G10"/>
    <mergeCell ref="C11:E11"/>
    <mergeCell ref="F11:G11"/>
    <mergeCell ref="C12:E12"/>
    <mergeCell ref="F12:G12"/>
    <mergeCell ref="C13:E13"/>
    <mergeCell ref="F13:G13"/>
    <mergeCell ref="A15:G15"/>
    <mergeCell ref="A208:G208"/>
    <mergeCell ref="A209:G209"/>
    <mergeCell ref="A210:G210"/>
    <mergeCell ref="A211:G211"/>
    <mergeCell ref="A212:G212"/>
    <mergeCell ref="A213:G2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2026-05-11T13:27:57Z</dcterms:created>
  <dc:creator>openpyxl</dc:creator>
  <dc:description/>
  <dc:language>en-US</dc:language>
  <cp:lastModifiedBy/>
  <dcterms:modified xsi:type="dcterms:W3CDTF">2026-05-11T13:27:58Z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