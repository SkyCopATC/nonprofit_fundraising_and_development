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easibility Assessment" sheetId="2" state="visible" r:id="rId4"/>
    <sheet name="Gift Range Chart" sheetId="3" state="visible" r:id="rId5"/>
    <sheet name="Prospect Pool" sheetId="4" state="visible" r:id="rId6"/>
    <sheet name="Campaign Timeline" sheetId="5" state="visible" r:id="rId7"/>
    <sheet name="Campaign Budget" sheetId="6" state="visible" r:id="rId8"/>
    <sheet name="Donor Recogni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<sst xmlns="http://schemas.openxmlformats.org/spreadsheetml/2006/main" count="529" uniqueCount="380">
  <si>
    <t xml:space="preserve">🏛  CAPITAL CAMPAIGN PLANNING WORKSHEET</t>
  </si>
  <si>
    <t xml:space="preserve">Module 8 Toolkit  •  Build Your Club Nonprofit Fundraising Course</t>
  </si>
  <si>
    <t xml:space="preserve">Complete the yellow-highlighted cells in each sheet. This dashboard auto-updates as you enter data across the workbook.</t>
  </si>
  <si>
    <t xml:space="preserve">  CAMPAIGN OVERVIEW</t>
  </si>
  <si>
    <t xml:space="preserve">Organization Name:</t>
  </si>
  <si>
    <t xml:space="preserve">Enter organization name</t>
  </si>
  <si>
    <t xml:space="preserve">Campaign Name:</t>
  </si>
  <si>
    <t xml:space="preserve">Enter campaign name</t>
  </si>
  <si>
    <t xml:space="preserve">Campaign Goal ($):</t>
  </si>
  <si>
    <t xml:space="preserve">Quiet Phase Start:</t>
  </si>
  <si>
    <t xml:space="preserve">Public Launch Date:</t>
  </si>
  <si>
    <t xml:space="preserve">Campaign End Date:</t>
  </si>
  <si>
    <t xml:space="preserve">Campaign Director:</t>
  </si>
  <si>
    <t xml:space="preserve">Enter name</t>
  </si>
  <si>
    <t xml:space="preserve">  CAMPAIGN PROGRESS SNAPSHOT</t>
  </si>
  <si>
    <t xml:space="preserve">Metric</t>
  </si>
  <si>
    <t xml:space="preserve">Value</t>
  </si>
  <si>
    <t xml:space="preserve">Source</t>
  </si>
  <si>
    <t xml:space="preserve">Campaign Goal ($)</t>
  </si>
  <si>
    <t xml:space="preserve">Dashboard — Campaign Goal</t>
  </si>
  <si>
    <t xml:space="preserve">Total Raised (Gifts Received)</t>
  </si>
  <si>
    <t xml:space="preserve">Prospect Pool sheet</t>
  </si>
  <si>
    <t xml:space="preserve">Total Pledged (All Commitments)</t>
  </si>
  <si>
    <t xml:space="preserve">Total Committed (Raised + Pledged)</t>
  </si>
  <si>
    <t xml:space="preserve">Calculated</t>
  </si>
  <si>
    <t xml:space="preserve">% of Goal Raised</t>
  </si>
  <si>
    <t xml:space="preserve">% of Goal Committed</t>
  </si>
  <si>
    <t xml:space="preserve">Remaining to Goal</t>
  </si>
  <si>
    <t xml:space="preserve"># Prospects in Pool</t>
  </si>
  <si>
    <t xml:space="preserve"># Gifts Received</t>
  </si>
  <si>
    <t xml:space="preserve"># Active Prospects</t>
  </si>
  <si>
    <t xml:space="preserve">  CAMPAIGN PHASE TRACKER</t>
  </si>
  <si>
    <t xml:space="preserve">Phase</t>
  </si>
  <si>
    <t xml:space="preserve">Description</t>
  </si>
  <si>
    <t xml:space="preserve">Target Start</t>
  </si>
  <si>
    <t xml:space="preserve">Target End</t>
  </si>
  <si>
    <t xml:space="preserve">Status</t>
  </si>
  <si>
    <t xml:space="preserve">1 – Planning &amp; Feasibility</t>
  </si>
  <si>
    <t xml:space="preserve">Conduct feasibility study, finalize goal, recruit leadership</t>
  </si>
  <si>
    <t xml:space="preserve">Not Started</t>
  </si>
  <si>
    <t xml:space="preserve">2 – Quiet Phase</t>
  </si>
  <si>
    <t xml:space="preserve">Solicit lead gifts; secure 50–70% of goal before public launch</t>
  </si>
  <si>
    <t xml:space="preserve">3 – Public Launch</t>
  </si>
  <si>
    <t xml:space="preserve">Announce campaign publicly; broaden donor outreach</t>
  </si>
  <si>
    <t xml:space="preserve">4 – Campaign Push</t>
  </si>
  <si>
    <t xml:space="preserve">Intensive solicitation, events, and mid-level donor cultivation</t>
  </si>
  <si>
    <t xml:space="preserve">5 – Final Sprint</t>
  </si>
  <si>
    <t xml:space="preserve">Close remaining gaps; cultivate lapsed prospects</t>
  </si>
  <si>
    <t xml:space="preserve">6 – Celebration &amp; Stewardship</t>
  </si>
  <si>
    <t xml:space="preserve">Thank donors, recognize gifts, begin stewardship</t>
  </si>
  <si>
    <t xml:space="preserve">🔍  CAMPAIGN FEASIBILITY ASSESSMENT</t>
  </si>
  <si>
    <t xml:space="preserve">Rate each factor 1–5 (1 = Not Ready, 5 = Fully Ready). Scores auto-calculate.</t>
  </si>
  <si>
    <t xml:space="preserve">A total score of 75%+ suggests readiness to proceed. Scores below 60% indicate areas requiring attention before launching.</t>
  </si>
  <si>
    <t xml:space="preserve">  INTERNAL READINESS</t>
  </si>
  <si>
    <t xml:space="preserve">Factor</t>
  </si>
  <si>
    <t xml:space="preserve">Your Score (1–5)</t>
  </si>
  <si>
    <t xml:space="preserve">Weight</t>
  </si>
  <si>
    <t xml:space="preserve">Weighted Score</t>
  </si>
  <si>
    <t xml:space="preserve">Notes</t>
  </si>
  <si>
    <t xml:space="preserve">Board Engagement</t>
  </si>
  <si>
    <t xml:space="preserve">Board members are informed, enthusiastic, and personally committed to giving</t>
  </si>
  <si>
    <t xml:space="preserve">Source: Internal assessment</t>
  </si>
  <si>
    <t xml:space="preserve">Leadership Giving</t>
  </si>
  <si>
    <t xml:space="preserve">Board and key volunteers have made or committed to major gifts</t>
  </si>
  <si>
    <t xml:space="preserve">Staff Capacity</t>
  </si>
  <si>
    <t xml:space="preserve">Development staff is adequate to manage campaign workload</t>
  </si>
  <si>
    <t xml:space="preserve">Track Record</t>
  </si>
  <si>
    <t xml:space="preserve">Organization has demonstrated success with past fundraising campaigns</t>
  </si>
  <si>
    <t xml:space="preserve">Financial Health</t>
  </si>
  <si>
    <t xml:space="preserve">Organization is fiscally stable with clean audits and strong reserves</t>
  </si>
  <si>
    <t xml:space="preserve">Case for Support</t>
  </si>
  <si>
    <t xml:space="preserve">A compelling, urgent, and community-validated case exists</t>
  </si>
  <si>
    <t xml:space="preserve">Data &amp; Systems</t>
  </si>
  <si>
    <t xml:space="preserve">Donor database is current, clean, and capable of tracking campaign activity</t>
  </si>
  <si>
    <t xml:space="preserve">Prospect Pipeline</t>
  </si>
  <si>
    <t xml:space="preserve">A robust list of 3–5× the goal in qualified prospects exists</t>
  </si>
  <si>
    <t xml:space="preserve">  EXTERNAL READINESS</t>
  </si>
  <si>
    <t xml:space="preserve">Community Need</t>
  </si>
  <si>
    <t xml:space="preserve">Community clearly understands and supports the campaign purpose</t>
  </si>
  <si>
    <t xml:space="preserve">Source: External assessment</t>
  </si>
  <si>
    <t xml:space="preserve">Peer Institutions</t>
  </si>
  <si>
    <t xml:space="preserve">Similar organizations have recently run successful campaigns</t>
  </si>
  <si>
    <t xml:space="preserve">Economic Climate</t>
  </si>
  <si>
    <t xml:space="preserve">Local/national economy supports major philanthropic investment</t>
  </si>
  <si>
    <t xml:space="preserve">Donor Capacity</t>
  </si>
  <si>
    <t xml:space="preserve">Enough high-capacity donors in your community to reach goal</t>
  </si>
  <si>
    <t xml:space="preserve">Competition</t>
  </si>
  <si>
    <t xml:space="preserve">No major competing campaigns from peer organizations in same window</t>
  </si>
  <si>
    <t xml:space="preserve">Timing</t>
  </si>
  <si>
    <t xml:space="preserve">Campaign timetable avoids conflicts with elections, crises, or other priorities</t>
  </si>
  <si>
    <t xml:space="preserve">  SCORE SUMMARY</t>
  </si>
  <si>
    <t xml:space="preserve">Internal Weighted Total</t>
  </si>
  <si>
    <t xml:space="preserve">Internal Maximum Possible</t>
  </si>
  <si>
    <t xml:space="preserve">Internal Readiness %</t>
  </si>
  <si>
    <t xml:space="preserve">External Weighted Total</t>
  </si>
  <si>
    <t xml:space="preserve">External Maximum Possible</t>
  </si>
  <si>
    <t xml:space="preserve">External Readiness %</t>
  </si>
  <si>
    <t xml:space="preserve">Overall Score %</t>
  </si>
  <si>
    <t xml:space="preserve">Recommendation</t>
  </si>
  <si>
    <t xml:space="preserve">🎯  GIFT RANGE CHART (CAMPAIGN PYRAMID)</t>
  </si>
  <si>
    <t xml:space="preserve">The classic campaign pyramid: a small number of major gifts will account for 80–90% of your total.</t>
  </si>
  <si>
    <t xml:space="preserve">Enter your Campaign Goal on the Dashboard. Adjust gift levels, # of gifts needed, and # of prospects needed to model your campaign structure.</t>
  </si>
  <si>
    <t xml:space="preserve">  CAMPAIGN SUMMARY</t>
  </si>
  <si>
    <t xml:space="preserve">Total Gifts Needed</t>
  </si>
  <si>
    <t xml:space="preserve">Total Prospects Needed</t>
  </si>
  <si>
    <t xml:space="preserve">Goal Coverage ($)</t>
  </si>
  <si>
    <t xml:space="preserve">Gift Level</t>
  </si>
  <si>
    <t xml:space="preserve">Gift Amount ($)</t>
  </si>
  <si>
    <t xml:space="preserve"># Gifts Needed</t>
  </si>
  <si>
    <t xml:space="preserve"># Prospects (3:1)</t>
  </si>
  <si>
    <t xml:space="preserve">Subtotal ($)</t>
  </si>
  <si>
    <t xml:space="preserve">Gifts Received</t>
  </si>
  <si>
    <t xml:space="preserve">Amount Raised</t>
  </si>
  <si>
    <t xml:space="preserve">% of Goal</t>
  </si>
  <si>
    <t xml:space="preserve">Gap ($)</t>
  </si>
  <si>
    <t xml:space="preserve">Lead Gift</t>
  </si>
  <si>
    <t xml:space="preserve">Major Gift 1</t>
  </si>
  <si>
    <t xml:space="preserve">Major Gift 2</t>
  </si>
  <si>
    <t xml:space="preserve">Major Gift 3</t>
  </si>
  <si>
    <t xml:space="preserve">Mid-Level 1</t>
  </si>
  <si>
    <t xml:space="preserve">Mid-Level 2</t>
  </si>
  <si>
    <t xml:space="preserve">Mid-Level 3</t>
  </si>
  <si>
    <t xml:space="preserve">Leadership Annual</t>
  </si>
  <si>
    <t xml:space="preserve">General Campaign</t>
  </si>
  <si>
    <t xml:space="preserve">Community Support</t>
  </si>
  <si>
    <t xml:space="preserve">Friend</t>
  </si>
  <si>
    <t xml:space="preserve">TOTALS</t>
  </si>
  <si>
    <t xml:space="preserve">👥  PROSPECT POOL TRACKER</t>
  </si>
  <si>
    <t xml:space="preserve">Track every campaign prospect — from identification through gift receipt and stewardship.</t>
  </si>
  <si>
    <t xml:space="preserve">Status options: Identified | In Cultivation | Solicited | Pledged | Gift Received | Declined | Lapsed</t>
  </si>
  <si>
    <t xml:space="preserve">Total Prospects</t>
  </si>
  <si>
    <t xml:space="preserve">In Cultivation</t>
  </si>
  <si>
    <t xml:space="preserve">Solicited</t>
  </si>
  <si>
    <t xml:space="preserve">Pledged</t>
  </si>
  <si>
    <t xml:space="preserve">Total Raised ($)</t>
  </si>
  <si>
    <t xml:space="preserve">Total Pledged ($)</t>
  </si>
  <si>
    <t xml:space="preserve">Prospect Name</t>
  </si>
  <si>
    <t xml:space="preserve">Gift Level Target</t>
  </si>
  <si>
    <t xml:space="preserve">Capacity Estimate ($)</t>
  </si>
  <si>
    <t xml:space="preserve">Ask Amount ($)</t>
  </si>
  <si>
    <t xml:space="preserve">Assigned Solicitor</t>
  </si>
  <si>
    <t xml:space="preserve">Gift/Pledge Amount ($)</t>
  </si>
  <si>
    <t xml:space="preserve">Last Contact</t>
  </si>
  <si>
    <t xml:space="preserve">Next Action</t>
  </si>
  <si>
    <t xml:space="preserve">Next Action Date</t>
  </si>
  <si>
    <t xml:space="preserve">Smith, Robert &amp; Mary</t>
  </si>
  <si>
    <t xml:space="preserve">CEO / Board Chair</t>
  </si>
  <si>
    <t xml:space="preserve">Gift Received</t>
  </si>
  <si>
    <t xml:space="preserve">2025-03-01</t>
  </si>
  <si>
    <t xml:space="preserve">Send recognition letter</t>
  </si>
  <si>
    <t xml:space="preserve">2025-03-15</t>
  </si>
  <si>
    <t xml:space="preserve">Naming gift for main building</t>
  </si>
  <si>
    <t xml:space="preserve">Johnson Foundation</t>
  </si>
  <si>
    <t xml:space="preserve">Executive Director</t>
  </si>
  <si>
    <t xml:space="preserve">2025-04-10</t>
  </si>
  <si>
    <t xml:space="preserve">Pledge payment follow-up</t>
  </si>
  <si>
    <t xml:space="preserve">2025-06-01</t>
  </si>
  <si>
    <t xml:space="preserve">5-year pledge, $20K/yr</t>
  </si>
  <si>
    <t xml:space="preserve">Williams, Dr. Susan</t>
  </si>
  <si>
    <t xml:space="preserve">Board Member</t>
  </si>
  <si>
    <t xml:space="preserve">2025-04-20</t>
  </si>
  <si>
    <t xml:space="preserve">Await decision</t>
  </si>
  <si>
    <t xml:space="preserve">2025-05-15</t>
  </si>
  <si>
    <t xml:space="preserve">Met at cultivation dinner</t>
  </si>
  <si>
    <t xml:space="preserve">Chen, Michael</t>
  </si>
  <si>
    <t xml:space="preserve">Development Dir.</t>
  </si>
  <si>
    <t xml:space="preserve">2025-03-28</t>
  </si>
  <si>
    <t xml:space="preserve">Schedule site visit</t>
  </si>
  <si>
    <t xml:space="preserve">2025-05-01</t>
  </si>
  <si>
    <t xml:space="preserve">Long-time donor, capacity confirmed</t>
  </si>
  <si>
    <t xml:space="preserve">Patel, Anita</t>
  </si>
  <si>
    <t xml:space="preserve">2025-04-05</t>
  </si>
  <si>
    <t xml:space="preserve">Invite to leadership breakfast</t>
  </si>
  <si>
    <t xml:space="preserve">2025-05-10</t>
  </si>
  <si>
    <t xml:space="preserve">Interested in scholarship fund</t>
  </si>
  <si>
    <t xml:space="preserve">Thompson Corp.</t>
  </si>
  <si>
    <t xml:space="preserve">Identified</t>
  </si>
  <si>
    <t xml:space="preserve">2025-02-15</t>
  </si>
  <si>
    <t xml:space="preserve">Request introductory meeting</t>
  </si>
  <si>
    <t xml:space="preserve">2025-05-20</t>
  </si>
  <si>
    <t xml:space="preserve">Referred by board member</t>
  </si>
  <si>
    <t xml:space="preserve">📅  CAMPAIGN TIMELINE &amp; MILESTONES</t>
  </si>
  <si>
    <t xml:space="preserve">Track key milestones across each campaign phase. Update status as you progress.</t>
  </si>
  <si>
    <t xml:space="preserve">Status options: Not Started | In Progress | Completed | Delayed | Cancelled</t>
  </si>
  <si>
    <t xml:space="preserve">Phase / Milestone</t>
  </si>
  <si>
    <t xml:space="preserve">Owner</t>
  </si>
  <si>
    <t xml:space="preserve">Actual Complete</t>
  </si>
  <si>
    <t xml:space="preserve">% Done</t>
  </si>
  <si>
    <t xml:space="preserve">PHASE 1: PLANNING &amp; FEASIBILITY</t>
  </si>
  <si>
    <t xml:space="preserve">Hire campaign counsel / feasibility consultant</t>
  </si>
  <si>
    <t xml:space="preserve">Conduct feasibility study (interviews)</t>
  </si>
  <si>
    <t xml:space="preserve">Campaign Counsel</t>
  </si>
  <si>
    <t xml:space="preserve">Analyze study results and set campaign goal</t>
  </si>
  <si>
    <t xml:space="preserve">Board + Staff</t>
  </si>
  <si>
    <t xml:space="preserve">Identify and recruit campaign leadership volunteers</t>
  </si>
  <si>
    <t xml:space="preserve">Board Chair</t>
  </si>
  <si>
    <t xml:space="preserve">Draft Case for Support</t>
  </si>
  <si>
    <t xml:space="preserve">Finalize campaign structure and timeline</t>
  </si>
  <si>
    <t xml:space="preserve">PHASE 2: QUIET PHASE</t>
  </si>
  <si>
    <t xml:space="preserve">Identify and prioritize top 10–20 prospects</t>
  </si>
  <si>
    <t xml:space="preserve">Begin cultivation of lead gift prospects</t>
  </si>
  <si>
    <t xml:space="preserve">Solicit lead gift (50% of goal)</t>
  </si>
  <si>
    <t xml:space="preserve">Campaign Chair</t>
  </si>
  <si>
    <t xml:space="preserve">Secure 60–70% of goal in quiet phase gifts</t>
  </si>
  <si>
    <t xml:space="preserve">Plan public launch event</t>
  </si>
  <si>
    <t xml:space="preserve">Events Team</t>
  </si>
  <si>
    <t xml:space="preserve">PHASE 3: PUBLIC LAUNCH</t>
  </si>
  <si>
    <t xml:space="preserve">Host public campaign launch event</t>
  </si>
  <si>
    <t xml:space="preserve">Issue press release and media campaign</t>
  </si>
  <si>
    <t xml:space="preserve">Communications</t>
  </si>
  <si>
    <t xml:space="preserve">Launch direct mail / email campaign</t>
  </si>
  <si>
    <t xml:space="preserve">Begin mid-level donor cultivation and solicitation</t>
  </si>
  <si>
    <t xml:space="preserve">Major Gifts Officer</t>
  </si>
  <si>
    <t xml:space="preserve">PHASE 4: INTENSIVE PUSH</t>
  </si>
  <si>
    <t xml:space="preserve">Host cultivation events for mid-level prospects</t>
  </si>
  <si>
    <t xml:space="preserve">Deploy board members in peer-to-peer asks</t>
  </si>
  <si>
    <t xml:space="preserve">Follow up with all outstanding proposals</t>
  </si>
  <si>
    <t xml:space="preserve">Conduct mid-campaign board check-in</t>
  </si>
  <si>
    <t xml:space="preserve">PHASE 5: FINAL SPRINT</t>
  </si>
  <si>
    <t xml:space="preserve">Re-solicit undecided prospects</t>
  </si>
  <si>
    <t xml:space="preserve">Campaign Team</t>
  </si>
  <si>
    <t xml:space="preserve">Launch challenge match campaign (if applicable)</t>
  </si>
  <si>
    <t xml:space="preserve">Close all open proposals</t>
  </si>
  <si>
    <t xml:space="preserve">PHASE 6: CELEBRATION &amp; STEWARDSHIP</t>
  </si>
  <si>
    <t xml:space="preserve">Host donor recognition celebration event</t>
  </si>
  <si>
    <t xml:space="preserve">Install donor recognition wall / naming plaques</t>
  </si>
  <si>
    <t xml:space="preserve">Facilities</t>
  </si>
  <si>
    <t xml:space="preserve">Send personal thank-you letters from CEO &amp; Board</t>
  </si>
  <si>
    <t xml:space="preserve">Begin ongoing stewardship of all campaign donors</t>
  </si>
  <si>
    <t xml:space="preserve">💰  CAMPAIGN BUDGET TRACKER</t>
  </si>
  <si>
    <t xml:space="preserve">Track campaign expenses against budget. Industry standard: campaign costs should be 5–15% of goal.</t>
  </si>
  <si>
    <t xml:space="preserve">Enter budgeted amounts in column C and actual expenditures in column E as invoices are paid. Notes column for vendor/context.</t>
  </si>
  <si>
    <t xml:space="preserve">Total Budget ($)</t>
  </si>
  <si>
    <t xml:space="preserve">Total Actual ($)</t>
  </si>
  <si>
    <t xml:space="preserve">Budget Remaining ($)</t>
  </si>
  <si>
    <t xml:space="preserve">% of Campaign Goal</t>
  </si>
  <si>
    <t xml:space="preserve">Category</t>
  </si>
  <si>
    <t xml:space="preserve">Line Item</t>
  </si>
  <si>
    <t xml:space="preserve">Budget ($)</t>
  </si>
  <si>
    <t xml:space="preserve"># Units</t>
  </si>
  <si>
    <t xml:space="preserve">Actual ($)</t>
  </si>
  <si>
    <t xml:space="preserve">Variance ($)</t>
  </si>
  <si>
    <t xml:space="preserve">Paid?</t>
  </si>
  <si>
    <t xml:space="preserve">Notes / Vendor</t>
  </si>
  <si>
    <t xml:space="preserve">Consulting &amp; Professional</t>
  </si>
  <si>
    <t xml:space="preserve">Campaign Counsel / Feasibility Study</t>
  </si>
  <si>
    <t xml:space="preserve">Graphic Design (Case for Support, collateral)</t>
  </si>
  <si>
    <t xml:space="preserve">Legal Fees (gift agreements, naming rights)</t>
  </si>
  <si>
    <t xml:space="preserve">Accounting / Audit Support</t>
  </si>
  <si>
    <t xml:space="preserve">Communications &amp; Marketing</t>
  </si>
  <si>
    <t xml:space="preserve">Case for Support Printing</t>
  </si>
  <si>
    <t xml:space="preserve">Campaign Website / Microsite</t>
  </si>
  <si>
    <t xml:space="preserve">Video Production (campaign video)</t>
  </si>
  <si>
    <t xml:space="preserve">Photography</t>
  </si>
  <si>
    <t xml:space="preserve">Direct Mail Appeals</t>
  </si>
  <si>
    <t xml:space="preserve">Events</t>
  </si>
  <si>
    <t xml:space="preserve">Cultivation Dinners</t>
  </si>
  <si>
    <t xml:space="preserve">Public Launch Event</t>
  </si>
  <si>
    <t xml:space="preserve">Donor Recognition Celebration</t>
  </si>
  <si>
    <t xml:space="preserve">Board Engagement Events</t>
  </si>
  <si>
    <t xml:space="preserve">Donor Recognition</t>
  </si>
  <si>
    <t xml:space="preserve">Recognition Wall / Plaque</t>
  </si>
  <si>
    <t xml:space="preserve">Naming Signage</t>
  </si>
  <si>
    <t xml:space="preserve">Personalized Donor Gifts</t>
  </si>
  <si>
    <t xml:space="preserve">Staffing &amp; Operations</t>
  </si>
  <si>
    <t xml:space="preserve">Additional Development Staff (temp/contract)</t>
  </si>
  <si>
    <t xml:space="preserve">Campaign Director Salary / Stipend</t>
  </si>
  <si>
    <t xml:space="preserve">Travel &amp; Cultivation Expenses</t>
  </si>
  <si>
    <t xml:space="preserve">Campaign Office Supplies</t>
  </si>
  <si>
    <t xml:space="preserve">Technology &amp; Database</t>
  </si>
  <si>
    <t xml:space="preserve">Database Upgrade / CRM Enhancement</t>
  </si>
  <si>
    <t xml:space="preserve">Online Giving Platform Fees</t>
  </si>
  <si>
    <t xml:space="preserve">Contingency</t>
  </si>
  <si>
    <t xml:space="preserve">Contingency Reserve (5%)</t>
  </si>
  <si>
    <t xml:space="preserve">TOTAL</t>
  </si>
  <si>
    <t xml:space="preserve">🏆  DONOR RECOGNITION PLAN</t>
  </si>
  <si>
    <t xml:space="preserve">Map recognition opportunities to gift levels. Ensure naming rights and recognition are documented before solicitation.</t>
  </si>
  <si>
    <t xml:space="preserve">Naming opportunities must be approved by the board before being offered to donors. Complete the 'Board Approved?' column before soliciting.</t>
  </si>
  <si>
    <t xml:space="preserve">  RECOGNITION LEVELS &amp; NAMING OPPORTUNITIES</t>
  </si>
  <si>
    <t xml:space="preserve">Gift Level / Range</t>
  </si>
  <si>
    <t xml:space="preserve">Recognition Tier Name</t>
  </si>
  <si>
    <t xml:space="preserve">Naming Opportunity</t>
  </si>
  <si>
    <t xml:space="preserve">Recognition Type</t>
  </si>
  <si>
    <t xml:space="preserve">Max Available</t>
  </si>
  <si>
    <t xml:space="preserve"># Claimed</t>
  </si>
  <si>
    <t xml:space="preserve">Remaining</t>
  </si>
  <si>
    <t xml:space="preserve">Board Approved?</t>
  </si>
  <si>
    <t xml:space="preserve">$250,000+</t>
  </si>
  <si>
    <t xml:space="preserve">Founding Patron</t>
  </si>
  <si>
    <t xml:space="preserve">Main Building / Primary Facility</t>
  </si>
  <si>
    <t xml:space="preserve">Permanent exterior signage, named space</t>
  </si>
  <si>
    <t xml:space="preserve">Yes</t>
  </si>
  <si>
    <t xml:space="preserve">Board Resolution #2025-01</t>
  </si>
  <si>
    <t xml:space="preserve">$100,000–$249,999</t>
  </si>
  <si>
    <t xml:space="preserve">Benefactor</t>
  </si>
  <si>
    <t xml:space="preserve">Auditorium / Large Program Space</t>
  </si>
  <si>
    <t xml:space="preserve">Interior naming plaque + recognition wall</t>
  </si>
  <si>
    <t xml:space="preserve">Pending final approval</t>
  </si>
  <si>
    <t xml:space="preserve">$50,000–$99,999</t>
  </si>
  <si>
    <t xml:space="preserve">Platinum Sponsor</t>
  </si>
  <si>
    <t xml:space="preserve">Conference Room / Training Center</t>
  </si>
  <si>
    <t xml:space="preserve">Named room plaque + donor wall</t>
  </si>
  <si>
    <t xml:space="preserve">$25,000–$49,999</t>
  </si>
  <si>
    <t xml:space="preserve">Gold Sponsor</t>
  </si>
  <si>
    <t xml:space="preserve">Scholarship Fund / Named Program</t>
  </si>
  <si>
    <t xml:space="preserve">Annual report feature + named fund</t>
  </si>
  <si>
    <t xml:space="preserve">$10,000–$24,999</t>
  </si>
  <si>
    <t xml:space="preserve">Silver Sponsor</t>
  </si>
  <si>
    <t xml:space="preserve">Garden / Outdoor Feature</t>
  </si>
  <si>
    <t xml:space="preserve">Outdoor bench/plaque + donor wall listing</t>
  </si>
  <si>
    <t xml:space="preserve">Pending</t>
  </si>
  <si>
    <t xml:space="preserve">$5,000–$9,999</t>
  </si>
  <si>
    <t xml:space="preserve">Bronze Sponsor</t>
  </si>
  <si>
    <t xml:space="preserve">Technology Resource Center</t>
  </si>
  <si>
    <t xml:space="preserve">Digital donor board listing + social media</t>
  </si>
  <si>
    <t xml:space="preserve">$2,500–$4,999</t>
  </si>
  <si>
    <t xml:space="preserve">Leadership Circle</t>
  </si>
  <si>
    <t xml:space="preserve">Annual Recognition Event Invitation</t>
  </si>
  <si>
    <t xml:space="preserve">Event invitation + program listing</t>
  </si>
  <si>
    <t xml:space="preserve">$1,000–$2,499</t>
  </si>
  <si>
    <t xml:space="preserve">Campaign Builder</t>
  </si>
  <si>
    <t xml:space="preserve">Donor Recognition Wall</t>
  </si>
  <si>
    <t xml:space="preserve">Engraved name on donor wall</t>
  </si>
  <si>
    <t xml:space="preserve">$500–$999</t>
  </si>
  <si>
    <t xml:space="preserve">Community Champion</t>
  </si>
  <si>
    <t xml:space="preserve">Donor Wall Listing</t>
  </si>
  <si>
    <t xml:space="preserve">Printed donor wall listing</t>
  </si>
  <si>
    <t xml:space="preserve">$100–$499</t>
  </si>
  <si>
    <t xml:space="preserve">Friend of the Campaign</t>
  </si>
  <si>
    <t xml:space="preserve">Annual Report Listing</t>
  </si>
  <si>
    <t xml:space="preserve">Name in annual report</t>
  </si>
  <si>
    <t xml:space="preserve">Any Amount</t>
  </si>
  <si>
    <t xml:space="preserve">Campaign Supporter</t>
  </si>
  <si>
    <t xml:space="preserve">Email &amp; Social Media Recognition</t>
  </si>
  <si>
    <t xml:space="preserve">Social media shoutout (with permission)</t>
  </si>
  <si>
    <t xml:space="preserve">  STEWARDSHIP TOUCHPOINT PLAN BY RECOGNITION TIER</t>
  </si>
  <si>
    <t xml:space="preserve">Recognition Tier</t>
  </si>
  <si>
    <t xml:space="preserve">Thank-You Letter</t>
  </si>
  <si>
    <t xml:space="preserve">Personal Call</t>
  </si>
  <si>
    <t xml:space="preserve">Recognition Event</t>
  </si>
  <si>
    <t xml:space="preserve">Annual Impact Report</t>
  </si>
  <si>
    <t xml:space="preserve">Site Visit</t>
  </si>
  <si>
    <t xml:space="preserve">Named Space Ceremony</t>
  </si>
  <si>
    <t xml:space="preserve">Custom Touchpoint</t>
  </si>
  <si>
    <t xml:space="preserve">Founding Patron ($250K+)</t>
  </si>
  <si>
    <t xml:space="preserve">Within 24 hrs</t>
  </si>
  <si>
    <t xml:space="preserve">CEO within 48 hrs</t>
  </si>
  <si>
    <t xml:space="preserve">VIP Seat</t>
  </si>
  <si>
    <t xml:space="preserve">Custom report</t>
  </si>
  <si>
    <t xml:space="preserve">Annual</t>
  </si>
  <si>
    <t xml:space="preserve">Yes — Ceremony</t>
  </si>
  <si>
    <t xml:space="preserve">Board dinner, annual meeting</t>
  </si>
  <si>
    <t xml:space="preserve">Benefactor ($100K+)</t>
  </si>
  <si>
    <t xml:space="preserve">Yes — Invited</t>
  </si>
  <si>
    <t xml:space="preserve">Annual personal update meeting</t>
  </si>
  <si>
    <t xml:space="preserve">Platinum ($50K+)</t>
  </si>
  <si>
    <t xml:space="preserve">Within 48 hrs</t>
  </si>
  <si>
    <t xml:space="preserve">Dev. Dir. within 72 hrs</t>
  </si>
  <si>
    <t xml:space="preserve">Personalized insert</t>
  </si>
  <si>
    <t xml:space="preserve">Bi-annual</t>
  </si>
  <si>
    <t xml:space="preserve">Invited</t>
  </si>
  <si>
    <t xml:space="preserve">Holiday card, program update</t>
  </si>
  <si>
    <t xml:space="preserve">Gold ($25K+)</t>
  </si>
  <si>
    <t xml:space="preserve">Board Member call</t>
  </si>
  <si>
    <t xml:space="preserve">Holiday card</t>
  </si>
  <si>
    <t xml:space="preserve">Silver ($10K+)</t>
  </si>
  <si>
    <t xml:space="preserve">Within 72 hrs</t>
  </si>
  <si>
    <t xml:space="preserve">Staff call</t>
  </si>
  <si>
    <t xml:space="preserve">Annual report</t>
  </si>
  <si>
    <t xml:space="preserve">As appropriate</t>
  </si>
  <si>
    <t xml:space="preserve">No</t>
  </si>
  <si>
    <t xml:space="preserve">Email update</t>
  </si>
  <si>
    <t xml:space="preserve">Bronze ($5K+)</t>
  </si>
  <si>
    <t xml:space="preserve">Leadership Circle ($1K+)</t>
  </si>
  <si>
    <t xml:space="preserve">Within 1 week</t>
  </si>
  <si>
    <t xml:space="preserve">Annual report listing</t>
  </si>
  <si>
    <t xml:space="preserve">Social media recognition</t>
  </si>
  <si>
    <t xml:space="preserve">Friend / Supporter (&lt;$1K)</t>
  </si>
  <si>
    <t xml:space="preserve">General invite</t>
  </si>
  <si>
    <t xml:space="preserve">Email thank-you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</si>
</sst>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color rgb="FF1F3A5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9922A"/>
        <bgColor rgb="FFD97706"/>
      </patternFill>
    </fill>
    <fill>
      <patternFill patternType="solid">
        <fgColor rgb="FFF3F4F6"/>
        <bgColor rgb="FFF5F3FF"/>
      </patternFill>
    </fill>
    <fill>
      <patternFill patternType="solid">
        <fgColor rgb="FFE8EDF5"/>
        <bgColor rgb="FFE5E7EB"/>
      </patternFill>
    </fill>
    <fill>
      <patternFill patternType="solid">
        <fgColor rgb="FFFFF3CD"/>
        <bgColor rgb="FFFDF3E3"/>
      </patternFill>
    </fill>
    <fill>
      <patternFill patternType="solid">
        <fgColor rgb="FF0D7377"/>
        <bgColor rgb="FF059669"/>
      </patternFill>
    </fill>
    <fill>
      <patternFill patternType="solid">
        <fgColor rgb="FFFFFFFF"/>
        <bgColor rgb="FFFEFCE8"/>
      </patternFill>
    </fill>
    <fill>
      <patternFill patternType="solid">
        <fgColor rgb="FF7C3AED"/>
        <bgColor rgb="FF993366"/>
      </patternFill>
    </fill>
    <fill>
      <patternFill patternType="solid">
        <fgColor rgb="FFECFDF5"/>
        <bgColor rgb="FFE6F7F7"/>
      </patternFill>
    </fill>
    <fill>
      <patternFill patternType="solid">
        <fgColor rgb="FFF5F3FF"/>
        <bgColor rgb="FFF3F4F6"/>
      </patternFill>
    </fill>
    <fill>
      <patternFill patternType="solid">
        <fgColor rgb="FF059669"/>
        <bgColor rgb="FF339966"/>
      </patternFill>
    </fill>
    <fill>
      <patternFill patternType="solid">
        <fgColor rgb="FFE6F7F7"/>
        <bgColor rgb="FFECFDF5"/>
      </patternFill>
    </fill>
    <fill>
      <patternFill patternType="solid">
        <fgColor rgb="FFD97706"/>
        <bgColor rgb="FFC9922A"/>
      </patternFill>
    </fill>
    <fill>
      <patternFill patternType="solid">
        <fgColor rgb="FFDC2626"/>
        <bgColor rgb="FF993300"/>
      </patternFill>
    </fill>
    <fill>
      <patternFill patternType="solid">
        <fgColor rgb="FFFEF2F2"/>
        <bgColor rgb="FFFDF3E3"/>
      </patternFill>
    </fill>
    <fill>
      <patternFill patternType="solid">
        <fgColor rgb="FFFEFCE8"/>
        <bgColor rgb="FFFDF3E3"/>
      </patternFill>
    </fill>
    <fill>
      <patternFill patternType="solid">
        <fgColor rgb="FFE5E7EB"/>
        <bgColor rgb="FFE8EDF5"/>
      </patternFill>
    </fill>
    <fill>
      <patternFill patternType="solid">
        <fgColor rgb="FFFDF3E3"/>
        <bgColor rgb="FFFE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EFCE8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F3F4F6"/>
      <rgbColor rgb="FF808080"/>
      <rgbColor rgb="FF9999FF"/>
      <rgbColor rgb="FF7C3AED"/>
      <rgbColor rgb="FFFFF3CD"/>
      <rgbColor rgb="FFE6F7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CFDF5"/>
      <rgbColor rgb="FFE8EDF5"/>
      <rgbColor rgb="FFFDF3E3"/>
      <rgbColor rgb="FFF5F3FF"/>
      <rgbColor rgb="FFFEF2F2"/>
      <rgbColor rgb="FFCC99FF"/>
      <rgbColor rgb="FFE5E7EB"/>
      <rgbColor rgb="FF3366FF"/>
      <rgbColor rgb="FF33CCCC"/>
      <rgbColor rgb="FF99CC00"/>
      <rgbColor rgb="FFFFCC00"/>
      <rgbColor rgb="FFC9922A"/>
      <rgbColor rgb="FFD97706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10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7.5" hidden="false" customHeight="true" outlineLevel="0" collapsed="false"/>
    <row r="5" customFormat="false" ht="1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8" hidden="false" customHeight="true" outlineLevel="0" collapsed="false">
      <c r="A6" s="5" t="s">
        <v>4</v>
      </c>
      <c r="B6" s="5"/>
      <c r="C6" s="5"/>
      <c r="D6" s="6" t="s">
        <v>5</v>
      </c>
      <c r="E6" s="6"/>
      <c r="F6" s="6"/>
      <c r="G6" s="6"/>
    </row>
    <row r="7" customFormat="false" ht="18" hidden="false" customHeight="true" outlineLevel="0" collapsed="false">
      <c r="A7" s="5" t="s">
        <v>6</v>
      </c>
      <c r="B7" s="5"/>
      <c r="C7" s="5"/>
      <c r="D7" s="6" t="s">
        <v>7</v>
      </c>
      <c r="E7" s="6"/>
      <c r="F7" s="6"/>
      <c r="G7" s="6"/>
    </row>
    <row r="8" customFormat="false" ht="18" hidden="false" customHeight="true" outlineLevel="0" collapsed="false">
      <c r="A8" s="5" t="s">
        <v>8</v>
      </c>
      <c r="B8" s="5"/>
      <c r="C8" s="5"/>
      <c r="D8" s="7"/>
      <c r="E8" s="7"/>
      <c r="F8" s="7"/>
      <c r="G8" s="7"/>
    </row>
    <row r="9" customFormat="false" ht="18" hidden="false" customHeight="true" outlineLevel="0" collapsed="false">
      <c r="A9" s="5" t="s">
        <v>9</v>
      </c>
      <c r="B9" s="5"/>
      <c r="C9" s="5"/>
      <c r="D9" s="7"/>
      <c r="E9" s="7"/>
      <c r="F9" s="7"/>
      <c r="G9" s="7"/>
    </row>
    <row r="10" customFormat="false" ht="18" hidden="false" customHeight="true" outlineLevel="0" collapsed="false">
      <c r="A10" s="5" t="s">
        <v>10</v>
      </c>
      <c r="B10" s="5"/>
      <c r="C10" s="5"/>
      <c r="D10" s="7"/>
      <c r="E10" s="7"/>
      <c r="F10" s="7"/>
      <c r="G10" s="7"/>
    </row>
    <row r="11" customFormat="false" ht="18" hidden="false" customHeight="true" outlineLevel="0" collapsed="false">
      <c r="A11" s="5" t="s">
        <v>11</v>
      </c>
      <c r="B11" s="5"/>
      <c r="C11" s="5"/>
      <c r="D11" s="7"/>
      <c r="E11" s="7"/>
      <c r="F11" s="7"/>
      <c r="G11" s="7"/>
    </row>
    <row r="12" customFormat="false" ht="18" hidden="false" customHeight="true" outlineLevel="0" collapsed="false">
      <c r="A12" s="5" t="s">
        <v>12</v>
      </c>
      <c r="B12" s="5"/>
      <c r="C12" s="5"/>
      <c r="D12" s="6" t="s">
        <v>13</v>
      </c>
      <c r="E12" s="6"/>
      <c r="F12" s="6"/>
      <c r="G12" s="6"/>
    </row>
    <row r="13" customFormat="false" ht="7.5" hidden="false" customHeight="true" outlineLevel="0" collapsed="false"/>
    <row r="14" customFormat="false" ht="18" hidden="false" customHeight="true" outlineLevel="0" collapsed="false">
      <c r="A14" s="8" t="s">
        <v>14</v>
      </c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.75" hidden="false" customHeight="true" outlineLevel="0" collapsed="false">
      <c r="A15" s="9" t="s">
        <v>15</v>
      </c>
      <c r="B15" s="9" t="s">
        <v>16</v>
      </c>
      <c r="C15" s="9" t="s">
        <v>17</v>
      </c>
    </row>
    <row r="16" customFormat="false" ht="15" hidden="false" customHeight="true" outlineLevel="0" collapsed="false">
      <c r="A16" s="10" t="s">
        <v>18</v>
      </c>
      <c r="B16" s="11" t="n">
        <f aca="false">IF(D8="",0,D8)</f>
        <v>0</v>
      </c>
      <c r="C16" s="12" t="s">
        <v>19</v>
      </c>
    </row>
    <row r="17" customFormat="false" ht="15" hidden="false" customHeight="true" outlineLevel="0" collapsed="false">
      <c r="A17" s="13" t="s">
        <v>20</v>
      </c>
      <c r="B17" s="14" t="n">
        <f aca="false">SUMIF('Prospect Pool'!G:G,"Gift Received",'Prospect Pool'!F:F)</f>
        <v>250000</v>
      </c>
      <c r="C17" s="15" t="s">
        <v>21</v>
      </c>
    </row>
    <row r="18" customFormat="false" ht="15" hidden="false" customHeight="true" outlineLevel="0" collapsed="false">
      <c r="A18" s="10" t="s">
        <v>22</v>
      </c>
      <c r="B18" s="11" t="n">
        <f aca="false">SUMIF('Prospect Pool'!G:G,"Pledged",'Prospect Pool'!F:F)</f>
        <v>100000</v>
      </c>
      <c r="C18" s="12" t="s">
        <v>21</v>
      </c>
    </row>
    <row r="19" customFormat="false" ht="15" hidden="false" customHeight="true" outlineLevel="0" collapsed="false">
      <c r="A19" s="13" t="s">
        <v>23</v>
      </c>
      <c r="B19" s="14" t="n">
        <f aca="false">B17+B18</f>
        <v>350000</v>
      </c>
      <c r="C19" s="15" t="s">
        <v>24</v>
      </c>
    </row>
    <row r="20" customFormat="false" ht="15" hidden="false" customHeight="true" outlineLevel="0" collapsed="false">
      <c r="A20" s="10" t="s">
        <v>25</v>
      </c>
      <c r="B20" s="11" t="str">
        <f aca="false">IF(B16=0,"-",B17/B16)</f>
        <v>-</v>
      </c>
      <c r="C20" s="12" t="s">
        <v>24</v>
      </c>
    </row>
    <row r="21" customFormat="false" ht="15" hidden="false" customHeight="true" outlineLevel="0" collapsed="false">
      <c r="A21" s="13" t="s">
        <v>26</v>
      </c>
      <c r="B21" s="14" t="str">
        <f aca="false">IF(B16=0,"-",B19/B16)</f>
        <v>-</v>
      </c>
      <c r="C21" s="15" t="s">
        <v>24</v>
      </c>
    </row>
    <row r="22" customFormat="false" ht="15" hidden="false" customHeight="true" outlineLevel="0" collapsed="false">
      <c r="A22" s="10" t="s">
        <v>27</v>
      </c>
      <c r="B22" s="11" t="str">
        <f aca="false">IF(B16=0,"-",B16-B17)</f>
        <v>-</v>
      </c>
      <c r="C22" s="12" t="s">
        <v>24</v>
      </c>
    </row>
    <row r="23" customFormat="false" ht="15" hidden="false" customHeight="true" outlineLevel="0" collapsed="false">
      <c r="A23" s="13" t="s">
        <v>28</v>
      </c>
      <c r="B23" s="14" t="n">
        <f aca="false">COUNTA('Prospect Pool'!A:A)-2</f>
        <v>10</v>
      </c>
      <c r="C23" s="15" t="s">
        <v>21</v>
      </c>
    </row>
    <row r="24" customFormat="false" ht="15" hidden="false" customHeight="true" outlineLevel="0" collapsed="false">
      <c r="A24" s="10" t="s">
        <v>29</v>
      </c>
      <c r="B24" s="11" t="n">
        <f aca="false">COUNTIF('Prospect Pool'!G:G,"Gift Received")</f>
        <v>1</v>
      </c>
      <c r="C24" s="12" t="s">
        <v>21</v>
      </c>
    </row>
    <row r="25" customFormat="false" ht="15" hidden="false" customHeight="true" outlineLevel="0" collapsed="false">
      <c r="A25" s="13" t="s">
        <v>30</v>
      </c>
      <c r="B25" s="14" t="n">
        <f aca="false">COUNTIF('Prospect Pool'!G:G,"In Cultivation")+COUNTIF('Prospect Pool'!G:G,"Solicited")+COUNTIF('Prospect Pool'!G:G,"Pledged")</f>
        <v>4</v>
      </c>
      <c r="C25" s="15" t="s">
        <v>21</v>
      </c>
    </row>
    <row r="26" customFormat="false" ht="7.5" hidden="false" customHeight="true" outlineLevel="0" collapsed="false"/>
    <row r="27" customFormat="false" ht="18" hidden="false" customHeight="true" outlineLevel="0" collapsed="false">
      <c r="A27" s="16" t="s">
        <v>31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5.75" hidden="false" customHeight="true" outlineLevel="0" collapsed="false">
      <c r="A28" s="17" t="s">
        <v>32</v>
      </c>
      <c r="B28" s="17" t="s">
        <v>33</v>
      </c>
      <c r="C28" s="17" t="s">
        <v>34</v>
      </c>
      <c r="D28" s="17" t="s">
        <v>35</v>
      </c>
      <c r="E28" s="17" t="s">
        <v>36</v>
      </c>
    </row>
    <row r="29" customFormat="false" ht="15" hidden="false" customHeight="true" outlineLevel="0" collapsed="false">
      <c r="A29" s="10" t="s">
        <v>37</v>
      </c>
      <c r="B29" s="12" t="s">
        <v>38</v>
      </c>
      <c r="C29" s="18"/>
      <c r="D29" s="18"/>
      <c r="E29" s="19" t="s">
        <v>39</v>
      </c>
    </row>
    <row r="30" customFormat="false" ht="15" hidden="false" customHeight="true" outlineLevel="0" collapsed="false">
      <c r="A30" s="13" t="s">
        <v>40</v>
      </c>
      <c r="B30" s="15" t="s">
        <v>41</v>
      </c>
      <c r="C30" s="18"/>
      <c r="D30" s="18"/>
      <c r="E30" s="19" t="s">
        <v>39</v>
      </c>
    </row>
    <row r="31" customFormat="false" ht="15" hidden="false" customHeight="true" outlineLevel="0" collapsed="false">
      <c r="A31" s="10" t="s">
        <v>42</v>
      </c>
      <c r="B31" s="12" t="s">
        <v>43</v>
      </c>
      <c r="C31" s="18"/>
      <c r="D31" s="18"/>
      <c r="E31" s="19" t="s">
        <v>39</v>
      </c>
    </row>
    <row r="32" customFormat="false" ht="15" hidden="false" customHeight="true" outlineLevel="0" collapsed="false">
      <c r="A32" s="13" t="s">
        <v>44</v>
      </c>
      <c r="B32" s="15" t="s">
        <v>45</v>
      </c>
      <c r="C32" s="18"/>
      <c r="D32" s="18"/>
      <c r="E32" s="19" t="s">
        <v>39</v>
      </c>
    </row>
    <row r="33" customFormat="false" ht="15" hidden="false" customHeight="true" outlineLevel="0" collapsed="false">
      <c r="A33" s="10" t="s">
        <v>46</v>
      </c>
      <c r="B33" s="12" t="s">
        <v>47</v>
      </c>
      <c r="C33" s="18"/>
      <c r="D33" s="18"/>
      <c r="E33" s="19" t="s">
        <v>39</v>
      </c>
    </row>
    <row r="34" customFormat="false" ht="15" hidden="false" customHeight="true" outlineLevel="0" collapsed="false">
      <c r="A34" s="13" t="s">
        <v>48</v>
      </c>
      <c r="B34" s="15" t="s">
        <v>49</v>
      </c>
      <c r="C34" s="18"/>
      <c r="D34" s="18"/>
      <c r="E34" s="19" t="s">
        <v>39</v>
      </c>
    </row>
  </sheetData>
  <mergeCells count="20">
    <mergeCell ref="A1:J1"/>
    <mergeCell ref="A2:J2"/>
    <mergeCell ref="A3:J3"/>
    <mergeCell ref="A5:J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4:J14"/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20" t="s">
        <v>50</v>
      </c>
      <c r="B1" s="20"/>
      <c r="C1" s="20"/>
      <c r="D1" s="20"/>
      <c r="E1" s="20"/>
      <c r="F1" s="20"/>
      <c r="G1" s="20"/>
      <c r="H1" s="20"/>
    </row>
    <row r="2" customFormat="false" ht="21.75" hidden="false" customHeight="true" outlineLevel="0" collapsed="false">
      <c r="A2" s="2" t="s">
        <v>51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52</v>
      </c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18" hidden="false" customHeight="true" outlineLevel="0" collapsed="false">
      <c r="A5" s="4" t="s">
        <v>53</v>
      </c>
      <c r="B5" s="4"/>
      <c r="C5" s="4"/>
      <c r="D5" s="4"/>
      <c r="E5" s="4"/>
      <c r="F5" s="4"/>
      <c r="G5" s="4"/>
      <c r="H5" s="4"/>
    </row>
    <row r="6" customFormat="false" ht="15.75" hidden="false" customHeight="true" outlineLevel="0" collapsed="false">
      <c r="A6" s="9" t="s">
        <v>54</v>
      </c>
      <c r="B6" s="9" t="s">
        <v>33</v>
      </c>
      <c r="C6" s="9" t="s">
        <v>55</v>
      </c>
      <c r="D6" s="9" t="s">
        <v>56</v>
      </c>
      <c r="E6" s="9" t="s">
        <v>57</v>
      </c>
      <c r="F6" s="9" t="s">
        <v>58</v>
      </c>
    </row>
    <row r="7" customFormat="false" ht="15.75" hidden="false" customHeight="true" outlineLevel="0" collapsed="false">
      <c r="A7" s="10" t="s">
        <v>59</v>
      </c>
      <c r="B7" s="21" t="s">
        <v>60</v>
      </c>
      <c r="C7" s="18"/>
      <c r="D7" s="22" t="n">
        <v>5</v>
      </c>
      <c r="E7" s="23" t="str">
        <f aca="false">IF(C7="","-",C7*D7)</f>
        <v>-</v>
      </c>
      <c r="F7" s="24" t="s">
        <v>61</v>
      </c>
    </row>
    <row r="8" customFormat="false" ht="15.75" hidden="false" customHeight="true" outlineLevel="0" collapsed="false">
      <c r="A8" s="13" t="s">
        <v>62</v>
      </c>
      <c r="B8" s="25" t="s">
        <v>63</v>
      </c>
      <c r="C8" s="18"/>
      <c r="D8" s="26" t="n">
        <v>5</v>
      </c>
      <c r="E8" s="23" t="str">
        <f aca="false">IF(C8="","-",C8*D8)</f>
        <v>-</v>
      </c>
      <c r="F8" s="27" t="s">
        <v>61</v>
      </c>
    </row>
    <row r="9" customFormat="false" ht="15.75" hidden="false" customHeight="true" outlineLevel="0" collapsed="false">
      <c r="A9" s="10" t="s">
        <v>64</v>
      </c>
      <c r="B9" s="21" t="s">
        <v>65</v>
      </c>
      <c r="C9" s="18"/>
      <c r="D9" s="22" t="n">
        <v>4</v>
      </c>
      <c r="E9" s="23" t="str">
        <f aca="false">IF(C9="","-",C9*D9)</f>
        <v>-</v>
      </c>
      <c r="F9" s="24" t="s">
        <v>61</v>
      </c>
    </row>
    <row r="10" customFormat="false" ht="15.75" hidden="false" customHeight="true" outlineLevel="0" collapsed="false">
      <c r="A10" s="13" t="s">
        <v>66</v>
      </c>
      <c r="B10" s="25" t="s">
        <v>67</v>
      </c>
      <c r="C10" s="18"/>
      <c r="D10" s="26" t="n">
        <v>4</v>
      </c>
      <c r="E10" s="23" t="str">
        <f aca="false">IF(C10="","-",C10*D10)</f>
        <v>-</v>
      </c>
      <c r="F10" s="27" t="s">
        <v>61</v>
      </c>
    </row>
    <row r="11" customFormat="false" ht="15.75" hidden="false" customHeight="true" outlineLevel="0" collapsed="false">
      <c r="A11" s="10" t="s">
        <v>68</v>
      </c>
      <c r="B11" s="21" t="s">
        <v>69</v>
      </c>
      <c r="C11" s="18"/>
      <c r="D11" s="22" t="n">
        <v>5</v>
      </c>
      <c r="E11" s="23" t="str">
        <f aca="false">IF(C11="","-",C11*D11)</f>
        <v>-</v>
      </c>
      <c r="F11" s="24" t="s">
        <v>61</v>
      </c>
    </row>
    <row r="12" customFormat="false" ht="15.75" hidden="false" customHeight="true" outlineLevel="0" collapsed="false">
      <c r="A12" s="13" t="s">
        <v>70</v>
      </c>
      <c r="B12" s="25" t="s">
        <v>71</v>
      </c>
      <c r="C12" s="18"/>
      <c r="D12" s="26" t="n">
        <v>5</v>
      </c>
      <c r="E12" s="23" t="str">
        <f aca="false">IF(C12="","-",C12*D12)</f>
        <v>-</v>
      </c>
      <c r="F12" s="27" t="s">
        <v>61</v>
      </c>
    </row>
    <row r="13" customFormat="false" ht="15.75" hidden="false" customHeight="true" outlineLevel="0" collapsed="false">
      <c r="A13" s="10" t="s">
        <v>72</v>
      </c>
      <c r="B13" s="21" t="s">
        <v>73</v>
      </c>
      <c r="C13" s="18"/>
      <c r="D13" s="22" t="n">
        <v>3</v>
      </c>
      <c r="E13" s="23" t="str">
        <f aca="false">IF(C13="","-",C13*D13)</f>
        <v>-</v>
      </c>
      <c r="F13" s="24" t="s">
        <v>61</v>
      </c>
    </row>
    <row r="14" customFormat="false" ht="15.75" hidden="false" customHeight="true" outlineLevel="0" collapsed="false">
      <c r="A14" s="13" t="s">
        <v>74</v>
      </c>
      <c r="B14" s="25" t="s">
        <v>75</v>
      </c>
      <c r="C14" s="18"/>
      <c r="D14" s="26" t="n">
        <v>4</v>
      </c>
      <c r="E14" s="23" t="str">
        <f aca="false">IF(C14="","-",C14*D14)</f>
        <v>-</v>
      </c>
      <c r="F14" s="27" t="s">
        <v>61</v>
      </c>
    </row>
    <row r="15" customFormat="false" ht="7.5" hidden="false" customHeight="true" outlineLevel="0" collapsed="false"/>
    <row r="16" customFormat="false" ht="18" hidden="false" customHeight="true" outlineLevel="0" collapsed="false">
      <c r="A16" s="8" t="s">
        <v>76</v>
      </c>
      <c r="B16" s="8"/>
      <c r="C16" s="8"/>
      <c r="D16" s="8"/>
      <c r="E16" s="8"/>
      <c r="F16" s="8"/>
      <c r="G16" s="8"/>
      <c r="H16" s="8"/>
    </row>
    <row r="17" customFormat="false" ht="15.75" hidden="false" customHeight="true" outlineLevel="0" collapsed="false">
      <c r="A17" s="28" t="s">
        <v>54</v>
      </c>
      <c r="B17" s="28" t="s">
        <v>33</v>
      </c>
      <c r="C17" s="28" t="s">
        <v>55</v>
      </c>
      <c r="D17" s="28" t="s">
        <v>56</v>
      </c>
      <c r="E17" s="28" t="s">
        <v>57</v>
      </c>
      <c r="F17" s="28" t="s">
        <v>58</v>
      </c>
    </row>
    <row r="18" customFormat="false" ht="15.75" hidden="false" customHeight="true" outlineLevel="0" collapsed="false">
      <c r="A18" s="10" t="s">
        <v>77</v>
      </c>
      <c r="B18" s="21" t="s">
        <v>78</v>
      </c>
      <c r="C18" s="18"/>
      <c r="D18" s="22" t="n">
        <v>5</v>
      </c>
      <c r="E18" s="23" t="str">
        <f aca="false">IF(C18="","-",C18*D18)</f>
        <v>-</v>
      </c>
      <c r="F18" s="24" t="s">
        <v>79</v>
      </c>
    </row>
    <row r="19" customFormat="false" ht="15.75" hidden="false" customHeight="true" outlineLevel="0" collapsed="false">
      <c r="A19" s="13" t="s">
        <v>80</v>
      </c>
      <c r="B19" s="25" t="s">
        <v>81</v>
      </c>
      <c r="C19" s="18"/>
      <c r="D19" s="26" t="n">
        <v>3</v>
      </c>
      <c r="E19" s="23" t="str">
        <f aca="false">IF(C19="","-",C19*D19)</f>
        <v>-</v>
      </c>
      <c r="F19" s="27" t="s">
        <v>79</v>
      </c>
    </row>
    <row r="20" customFormat="false" ht="15.75" hidden="false" customHeight="true" outlineLevel="0" collapsed="false">
      <c r="A20" s="10" t="s">
        <v>82</v>
      </c>
      <c r="B20" s="21" t="s">
        <v>83</v>
      </c>
      <c r="C20" s="18"/>
      <c r="D20" s="22" t="n">
        <v>4</v>
      </c>
      <c r="E20" s="23" t="str">
        <f aca="false">IF(C20="","-",C20*D20)</f>
        <v>-</v>
      </c>
      <c r="F20" s="24" t="s">
        <v>79</v>
      </c>
    </row>
    <row r="21" customFormat="false" ht="15.75" hidden="false" customHeight="true" outlineLevel="0" collapsed="false">
      <c r="A21" s="13" t="s">
        <v>84</v>
      </c>
      <c r="B21" s="25" t="s">
        <v>85</v>
      </c>
      <c r="C21" s="18"/>
      <c r="D21" s="26" t="n">
        <v>4</v>
      </c>
      <c r="E21" s="23" t="str">
        <f aca="false">IF(C21="","-",C21*D21)</f>
        <v>-</v>
      </c>
      <c r="F21" s="27" t="s">
        <v>79</v>
      </c>
    </row>
    <row r="22" customFormat="false" ht="15.75" hidden="false" customHeight="true" outlineLevel="0" collapsed="false">
      <c r="A22" s="10" t="s">
        <v>86</v>
      </c>
      <c r="B22" s="21" t="s">
        <v>87</v>
      </c>
      <c r="C22" s="18"/>
      <c r="D22" s="22" t="n">
        <v>3</v>
      </c>
      <c r="E22" s="23" t="str">
        <f aca="false">IF(C22="","-",C22*D22)</f>
        <v>-</v>
      </c>
      <c r="F22" s="24" t="s">
        <v>79</v>
      </c>
    </row>
    <row r="23" customFormat="false" ht="15.75" hidden="false" customHeight="true" outlineLevel="0" collapsed="false">
      <c r="A23" s="13" t="s">
        <v>88</v>
      </c>
      <c r="B23" s="25" t="s">
        <v>89</v>
      </c>
      <c r="C23" s="18"/>
      <c r="D23" s="26" t="n">
        <v>4</v>
      </c>
      <c r="E23" s="23" t="str">
        <f aca="false">IF(C23="","-",C23*D23)</f>
        <v>-</v>
      </c>
      <c r="F23" s="27" t="s">
        <v>79</v>
      </c>
    </row>
    <row r="24" customFormat="false" ht="7.5" hidden="false" customHeight="true" outlineLevel="0" collapsed="false"/>
    <row r="25" customFormat="false" ht="18" hidden="false" customHeight="true" outlineLevel="0" collapsed="false">
      <c r="A25" s="16" t="s">
        <v>90</v>
      </c>
      <c r="B25" s="16"/>
      <c r="C25" s="16"/>
      <c r="D25" s="16"/>
      <c r="E25" s="16"/>
      <c r="F25" s="16"/>
      <c r="G25" s="16"/>
      <c r="H25" s="16"/>
    </row>
    <row r="26" customFormat="false" ht="18" hidden="false" customHeight="true" outlineLevel="0" collapsed="false">
      <c r="A26" s="29" t="s">
        <v>91</v>
      </c>
      <c r="B26" s="30" t="n">
        <f aca="false">SUMIF(E7:E14,"&lt;&gt;#VALUE!")</f>
        <v>0</v>
      </c>
      <c r="C26" s="31"/>
      <c r="D26" s="31"/>
      <c r="E26" s="31"/>
      <c r="F26" s="31"/>
      <c r="G26" s="31"/>
      <c r="H26" s="31"/>
    </row>
    <row r="27" customFormat="false" ht="18" hidden="false" customHeight="true" outlineLevel="0" collapsed="false">
      <c r="A27" s="29" t="s">
        <v>92</v>
      </c>
      <c r="B27" s="30" t="n">
        <f aca="false">SUMPRODUCT(D7:D14)*5</f>
        <v>175</v>
      </c>
      <c r="C27" s="31"/>
      <c r="D27" s="31"/>
      <c r="E27" s="31"/>
      <c r="F27" s="31"/>
      <c r="G27" s="31"/>
      <c r="H27" s="31"/>
    </row>
    <row r="28" customFormat="false" ht="18" hidden="false" customHeight="true" outlineLevel="0" collapsed="false">
      <c r="A28" s="29" t="s">
        <v>93</v>
      </c>
      <c r="B28" s="30" t="n">
        <f aca="false">IF(B27=0,"-",B26/B27)</f>
        <v>0</v>
      </c>
      <c r="C28" s="31"/>
      <c r="D28" s="31"/>
      <c r="E28" s="31"/>
      <c r="F28" s="31"/>
      <c r="G28" s="31"/>
      <c r="H28" s="31"/>
    </row>
    <row r="29" customFormat="false" ht="18" hidden="false" customHeight="true" outlineLevel="0" collapsed="false">
      <c r="A29" s="29" t="s">
        <v>94</v>
      </c>
      <c r="B29" s="30" t="n">
        <f aca="false">SUMIF(E18:E23,"&lt;&gt;#VALUE!")</f>
        <v>0</v>
      </c>
      <c r="C29" s="31"/>
      <c r="D29" s="31"/>
      <c r="E29" s="31"/>
      <c r="F29" s="31"/>
      <c r="G29" s="31"/>
      <c r="H29" s="31"/>
    </row>
    <row r="30" customFormat="false" ht="18" hidden="false" customHeight="true" outlineLevel="0" collapsed="false">
      <c r="A30" s="29" t="s">
        <v>95</v>
      </c>
      <c r="B30" s="30" t="n">
        <f aca="false">SUMPRODUCT(D18:D23)*5</f>
        <v>115</v>
      </c>
      <c r="C30" s="31"/>
      <c r="D30" s="31"/>
      <c r="E30" s="31"/>
      <c r="F30" s="31"/>
      <c r="G30" s="31"/>
      <c r="H30" s="31"/>
    </row>
    <row r="31" customFormat="false" ht="18" hidden="false" customHeight="true" outlineLevel="0" collapsed="false">
      <c r="A31" s="29" t="s">
        <v>96</v>
      </c>
      <c r="B31" s="30" t="n">
        <f aca="false">IF(B30=0,"-",B29/B30)</f>
        <v>0</v>
      </c>
      <c r="C31" s="31"/>
      <c r="D31" s="31"/>
      <c r="E31" s="31"/>
      <c r="F31" s="31"/>
      <c r="G31" s="31"/>
      <c r="H31" s="31"/>
    </row>
    <row r="32" customFormat="false" ht="18" hidden="false" customHeight="true" outlineLevel="0" collapsed="false">
      <c r="A32" s="29" t="s">
        <v>97</v>
      </c>
      <c r="B32" s="32" t="n">
        <f aca="false">IF((B27+B30)=0,"-",(B26+B29)/(B27+B30))</f>
        <v>0</v>
      </c>
      <c r="C32" s="33"/>
      <c r="D32" s="33"/>
      <c r="E32" s="33"/>
      <c r="F32" s="33"/>
      <c r="G32" s="33"/>
      <c r="H32" s="33"/>
    </row>
    <row r="33" customFormat="false" ht="18" hidden="false" customHeight="true" outlineLevel="0" collapsed="false">
      <c r="A33" s="29" t="s">
        <v>98</v>
      </c>
      <c r="B33" s="32" t="str">
        <f aca="false">IF(B32="-","Enter scores above",IF(B32&gt;=0.75,"✅ Ready to Proceed",IF(B32&gt;=0.6,"⚠️ Proceed with Caution","❌ Not Ready — Address Gaps First")))</f>
        <v>❌ Not Ready — Address Gaps First</v>
      </c>
      <c r="C33" s="33"/>
      <c r="D33" s="33"/>
      <c r="E33" s="33"/>
      <c r="F33" s="33"/>
      <c r="G33" s="33"/>
      <c r="H33" s="33"/>
    </row>
  </sheetData>
  <mergeCells count="6">
    <mergeCell ref="A1:H1"/>
    <mergeCell ref="A2:H2"/>
    <mergeCell ref="A3:H3"/>
    <mergeCell ref="A5:H5"/>
    <mergeCell ref="A16:H16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34" t="s">
        <v>99</v>
      </c>
      <c r="B1" s="34"/>
      <c r="C1" s="34"/>
      <c r="D1" s="34"/>
      <c r="E1" s="34"/>
      <c r="F1" s="34"/>
      <c r="G1" s="34"/>
      <c r="H1" s="34"/>
      <c r="I1" s="34"/>
    </row>
    <row r="2" customFormat="false" ht="21.75" hidden="false" customHeight="true" outlineLevel="0" collapsed="false">
      <c r="A2" s="2" t="s">
        <v>100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101</v>
      </c>
      <c r="B3" s="3"/>
      <c r="C3" s="3"/>
      <c r="D3" s="3"/>
      <c r="E3" s="3"/>
      <c r="F3" s="3"/>
      <c r="G3" s="3"/>
      <c r="H3" s="3"/>
      <c r="I3" s="3"/>
    </row>
    <row r="4" customFormat="false" ht="7.5" hidden="false" customHeight="true" outlineLevel="0" collapsed="false"/>
    <row r="5" customFormat="false" ht="18" hidden="false" customHeight="true" outlineLevel="0" collapsed="false">
      <c r="A5" s="4" t="s">
        <v>102</v>
      </c>
      <c r="B5" s="4"/>
      <c r="C5" s="4"/>
      <c r="D5" s="4"/>
      <c r="E5" s="4"/>
      <c r="F5" s="4"/>
      <c r="G5" s="4"/>
      <c r="H5" s="4"/>
      <c r="I5" s="4"/>
    </row>
    <row r="6" customFormat="false" ht="15.75" hidden="false" customHeight="true" outlineLevel="0" collapsed="false">
      <c r="A6" s="35" t="s">
        <v>18</v>
      </c>
      <c r="B6" s="35"/>
      <c r="C6" s="35" t="s">
        <v>103</v>
      </c>
      <c r="D6" s="35"/>
      <c r="E6" s="35" t="s">
        <v>104</v>
      </c>
      <c r="F6" s="35"/>
      <c r="G6" s="35" t="s">
        <v>105</v>
      </c>
    </row>
    <row r="7" customFormat="false" ht="18" hidden="false" customHeight="true" outlineLevel="0" collapsed="false">
      <c r="A7" s="32" t="n">
        <f aca="false">Dashboard!D8</f>
        <v>0</v>
      </c>
      <c r="B7" s="32"/>
      <c r="C7" s="32" t="n">
        <f aca="false">SUM(D9:D25)</f>
        <v>2286</v>
      </c>
      <c r="D7" s="32"/>
      <c r="E7" s="32" t="n">
        <f aca="false">SUM(E9:E25)</f>
        <v>2020000</v>
      </c>
      <c r="F7" s="32"/>
      <c r="G7" s="32" t="n">
        <f aca="false">SUMPRODUCT(C9:C25,D9:D25)</f>
        <v>545124</v>
      </c>
    </row>
    <row r="8" customFormat="false" ht="7.5" hidden="false" customHeight="true" outlineLevel="0" collapsed="false"/>
    <row r="9" customFormat="false" ht="15.75" hidden="false" customHeight="true" outlineLevel="0" collapsed="false">
      <c r="A9" s="36" t="s">
        <v>106</v>
      </c>
      <c r="B9" s="36" t="s">
        <v>107</v>
      </c>
      <c r="C9" s="36" t="s">
        <v>108</v>
      </c>
      <c r="D9" s="36" t="s">
        <v>109</v>
      </c>
      <c r="E9" s="36" t="s">
        <v>110</v>
      </c>
      <c r="F9" s="36" t="s">
        <v>111</v>
      </c>
      <c r="G9" s="36" t="s">
        <v>112</v>
      </c>
      <c r="H9" s="36" t="s">
        <v>113</v>
      </c>
      <c r="I9" s="36" t="s">
        <v>114</v>
      </c>
    </row>
    <row r="10" customFormat="false" ht="15" hidden="false" customHeight="true" outlineLevel="0" collapsed="false">
      <c r="A10" s="10" t="s">
        <v>115</v>
      </c>
      <c r="B10" s="11" t="n">
        <v>250000</v>
      </c>
      <c r="C10" s="22" t="n">
        <v>1</v>
      </c>
      <c r="D10" s="22" t="n">
        <v>3</v>
      </c>
      <c r="E10" s="11" t="n">
        <f aca="false">B10*C10</f>
        <v>250000</v>
      </c>
      <c r="F10" s="18"/>
      <c r="G10" s="11" t="n">
        <f aca="false">IF(F10="",0,F10*B10)</f>
        <v>0</v>
      </c>
      <c r="H10" s="22" t="str">
        <f aca="false">IF(Dashboard!D8=0,"-",G10/Dashboard!D8)</f>
        <v>-</v>
      </c>
      <c r="I10" s="11" t="n">
        <f aca="false">E10-G10</f>
        <v>250000</v>
      </c>
    </row>
    <row r="11" customFormat="false" ht="15" hidden="false" customHeight="true" outlineLevel="0" collapsed="false">
      <c r="A11" s="13" t="s">
        <v>116</v>
      </c>
      <c r="B11" s="14" t="n">
        <v>100000</v>
      </c>
      <c r="C11" s="26" t="n">
        <v>2</v>
      </c>
      <c r="D11" s="26" t="n">
        <v>6</v>
      </c>
      <c r="E11" s="14" t="n">
        <f aca="false">B11*C11</f>
        <v>200000</v>
      </c>
      <c r="F11" s="18"/>
      <c r="G11" s="14" t="n">
        <f aca="false">IF(F11="",0,F11*B11)</f>
        <v>0</v>
      </c>
      <c r="H11" s="26" t="str">
        <f aca="false">IF(Dashboard!D8=0,"-",G11/Dashboard!D8)</f>
        <v>-</v>
      </c>
      <c r="I11" s="14" t="n">
        <f aca="false">E11-G11</f>
        <v>200000</v>
      </c>
    </row>
    <row r="12" customFormat="false" ht="15" hidden="false" customHeight="true" outlineLevel="0" collapsed="false">
      <c r="A12" s="10" t="s">
        <v>117</v>
      </c>
      <c r="B12" s="11" t="n">
        <v>50000</v>
      </c>
      <c r="C12" s="22" t="n">
        <v>3</v>
      </c>
      <c r="D12" s="22" t="n">
        <v>9</v>
      </c>
      <c r="E12" s="11" t="n">
        <f aca="false">B12*C12</f>
        <v>150000</v>
      </c>
      <c r="F12" s="18"/>
      <c r="G12" s="11" t="n">
        <f aca="false">IF(F12="",0,F12*B12)</f>
        <v>0</v>
      </c>
      <c r="H12" s="22" t="str">
        <f aca="false">IF(Dashboard!D8=0,"-",G12/Dashboard!D8)</f>
        <v>-</v>
      </c>
      <c r="I12" s="11" t="n">
        <f aca="false">E12-G12</f>
        <v>150000</v>
      </c>
    </row>
    <row r="13" customFormat="false" ht="15" hidden="false" customHeight="true" outlineLevel="0" collapsed="false">
      <c r="A13" s="13" t="s">
        <v>118</v>
      </c>
      <c r="B13" s="14" t="n">
        <v>25000</v>
      </c>
      <c r="C13" s="26" t="n">
        <v>5</v>
      </c>
      <c r="D13" s="26" t="n">
        <v>15</v>
      </c>
      <c r="E13" s="14" t="n">
        <f aca="false">B13*C13</f>
        <v>125000</v>
      </c>
      <c r="F13" s="18"/>
      <c r="G13" s="14" t="n">
        <f aca="false">IF(F13="",0,F13*B13)</f>
        <v>0</v>
      </c>
      <c r="H13" s="26" t="str">
        <f aca="false">IF(Dashboard!D8=0,"-",G13/Dashboard!D8)</f>
        <v>-</v>
      </c>
      <c r="I13" s="14" t="n">
        <f aca="false">E13-G13</f>
        <v>125000</v>
      </c>
    </row>
    <row r="14" customFormat="false" ht="15" hidden="false" customHeight="true" outlineLevel="0" collapsed="false">
      <c r="A14" s="10" t="s">
        <v>119</v>
      </c>
      <c r="B14" s="11" t="n">
        <v>10000</v>
      </c>
      <c r="C14" s="22" t="n">
        <v>8</v>
      </c>
      <c r="D14" s="22" t="n">
        <v>24</v>
      </c>
      <c r="E14" s="11" t="n">
        <f aca="false">B14*C14</f>
        <v>80000</v>
      </c>
      <c r="F14" s="18"/>
      <c r="G14" s="11" t="n">
        <f aca="false">IF(F14="",0,F14*B14)</f>
        <v>0</v>
      </c>
      <c r="H14" s="22" t="str">
        <f aca="false">IF(Dashboard!D8=0,"-",G14/Dashboard!D8)</f>
        <v>-</v>
      </c>
      <c r="I14" s="11" t="n">
        <f aca="false">E14-G14</f>
        <v>80000</v>
      </c>
    </row>
    <row r="15" customFormat="false" ht="15" hidden="false" customHeight="true" outlineLevel="0" collapsed="false">
      <c r="A15" s="13" t="s">
        <v>120</v>
      </c>
      <c r="B15" s="14" t="n">
        <v>5000</v>
      </c>
      <c r="C15" s="26" t="n">
        <v>12</v>
      </c>
      <c r="D15" s="26" t="n">
        <v>36</v>
      </c>
      <c r="E15" s="14" t="n">
        <f aca="false">B15*C15</f>
        <v>60000</v>
      </c>
      <c r="F15" s="18"/>
      <c r="G15" s="14" t="n">
        <f aca="false">IF(F15="",0,F15*B15)</f>
        <v>0</v>
      </c>
      <c r="H15" s="26" t="str">
        <f aca="false">IF(Dashboard!D8=0,"-",G15/Dashboard!D8)</f>
        <v>-</v>
      </c>
      <c r="I15" s="14" t="n">
        <f aca="false">E15-G15</f>
        <v>60000</v>
      </c>
    </row>
    <row r="16" customFormat="false" ht="15" hidden="false" customHeight="true" outlineLevel="0" collapsed="false">
      <c r="A16" s="10" t="s">
        <v>121</v>
      </c>
      <c r="B16" s="11" t="n">
        <v>2500</v>
      </c>
      <c r="C16" s="22" t="n">
        <v>20</v>
      </c>
      <c r="D16" s="22" t="n">
        <v>60</v>
      </c>
      <c r="E16" s="11" t="n">
        <f aca="false">B16*C16</f>
        <v>50000</v>
      </c>
      <c r="F16" s="18"/>
      <c r="G16" s="11" t="n">
        <f aca="false">IF(F16="",0,F16*B16)</f>
        <v>0</v>
      </c>
      <c r="H16" s="22" t="str">
        <f aca="false">IF(Dashboard!D8=0,"-",G16/Dashboard!D8)</f>
        <v>-</v>
      </c>
      <c r="I16" s="11" t="n">
        <f aca="false">E16-G16</f>
        <v>50000</v>
      </c>
    </row>
    <row r="17" customFormat="false" ht="15" hidden="false" customHeight="true" outlineLevel="0" collapsed="false">
      <c r="A17" s="13" t="s">
        <v>122</v>
      </c>
      <c r="B17" s="14" t="n">
        <v>1000</v>
      </c>
      <c r="C17" s="26" t="n">
        <v>30</v>
      </c>
      <c r="D17" s="26" t="n">
        <v>90</v>
      </c>
      <c r="E17" s="14" t="n">
        <f aca="false">B17*C17</f>
        <v>30000</v>
      </c>
      <c r="F17" s="18"/>
      <c r="G17" s="14" t="n">
        <f aca="false">IF(F17="",0,F17*B17)</f>
        <v>0</v>
      </c>
      <c r="H17" s="26" t="str">
        <f aca="false">IF(Dashboard!D8=0,"-",G17/Dashboard!D8)</f>
        <v>-</v>
      </c>
      <c r="I17" s="14" t="n">
        <f aca="false">E17-G17</f>
        <v>30000</v>
      </c>
    </row>
    <row r="18" customFormat="false" ht="15" hidden="false" customHeight="true" outlineLevel="0" collapsed="false">
      <c r="A18" s="10" t="s">
        <v>123</v>
      </c>
      <c r="B18" s="11" t="n">
        <v>500</v>
      </c>
      <c r="C18" s="22" t="n">
        <v>50</v>
      </c>
      <c r="D18" s="22" t="n">
        <v>150</v>
      </c>
      <c r="E18" s="11" t="n">
        <f aca="false">B18*C18</f>
        <v>25000</v>
      </c>
      <c r="F18" s="18"/>
      <c r="G18" s="11" t="n">
        <f aca="false">IF(F18="",0,F18*B18)</f>
        <v>0</v>
      </c>
      <c r="H18" s="22" t="str">
        <f aca="false">IF(Dashboard!D8=0,"-",G18/Dashboard!D8)</f>
        <v>-</v>
      </c>
      <c r="I18" s="11" t="n">
        <f aca="false">E18-G18</f>
        <v>25000</v>
      </c>
    </row>
    <row r="19" customFormat="false" ht="15" hidden="false" customHeight="true" outlineLevel="0" collapsed="false">
      <c r="A19" s="13" t="s">
        <v>124</v>
      </c>
      <c r="B19" s="14" t="n">
        <v>250</v>
      </c>
      <c r="C19" s="26" t="n">
        <v>100</v>
      </c>
      <c r="D19" s="26" t="n">
        <v>300</v>
      </c>
      <c r="E19" s="14" t="n">
        <f aca="false">B19*C19</f>
        <v>25000</v>
      </c>
      <c r="F19" s="18"/>
      <c r="G19" s="14" t="n">
        <f aca="false">IF(F19="",0,F19*B19)</f>
        <v>0</v>
      </c>
      <c r="H19" s="26" t="str">
        <f aca="false">IF(Dashboard!D8=0,"-",G19/Dashboard!D8)</f>
        <v>-</v>
      </c>
      <c r="I19" s="14" t="n">
        <f aca="false">E19-G19</f>
        <v>25000</v>
      </c>
    </row>
    <row r="20" customFormat="false" ht="15" hidden="false" customHeight="true" outlineLevel="0" collapsed="false">
      <c r="A20" s="10" t="s">
        <v>125</v>
      </c>
      <c r="B20" s="11" t="n">
        <v>100</v>
      </c>
      <c r="C20" s="22" t="n">
        <v>150</v>
      </c>
      <c r="D20" s="22" t="n">
        <v>450</v>
      </c>
      <c r="E20" s="11" t="n">
        <f aca="false">B20*C20</f>
        <v>15000</v>
      </c>
      <c r="F20" s="18"/>
      <c r="G20" s="11" t="n">
        <f aca="false">IF(F20="",0,F20*B20)</f>
        <v>0</v>
      </c>
      <c r="H20" s="22" t="str">
        <f aca="false">IF(Dashboard!D8=0,"-",G20/Dashboard!D8)</f>
        <v>-</v>
      </c>
      <c r="I20" s="11" t="n">
        <f aca="false">E20-G20</f>
        <v>15000</v>
      </c>
    </row>
    <row r="21" customFormat="false" ht="18" hidden="false" customHeight="true" outlineLevel="0" collapsed="false">
      <c r="A21" s="37" t="s">
        <v>126</v>
      </c>
      <c r="B21" s="38"/>
      <c r="C21" s="38" t="n">
        <f aca="false">SUM(C10:C20)</f>
        <v>381</v>
      </c>
      <c r="D21" s="38" t="n">
        <f aca="false">SUM(D10:D20)</f>
        <v>1143</v>
      </c>
      <c r="E21" s="38" t="n">
        <f aca="false">SUM(E10:E20)</f>
        <v>1010000</v>
      </c>
      <c r="F21" s="38"/>
      <c r="G21" s="38" t="n">
        <f aca="false">SUM(G10:G20)</f>
        <v>0</v>
      </c>
      <c r="H21" s="38" t="str">
        <f aca="false">IF(Dashboard!D8=0,"-",G21/Dashboard!D8)</f>
        <v>-</v>
      </c>
      <c r="I21" s="38" t="n">
        <f aca="false">SUM(I10:I20)</f>
        <v>1010000</v>
      </c>
    </row>
  </sheetData>
  <mergeCells count="4">
    <mergeCell ref="A1:I1"/>
    <mergeCell ref="A2:I2"/>
    <mergeCell ref="A3:I3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true" outlineLevel="0" collapsed="false">
      <c r="A3" s="3" t="s">
        <v>129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.75" hidden="false" customHeight="true" outlineLevel="0" collapsed="false">
      <c r="A4" s="28" t="s">
        <v>130</v>
      </c>
      <c r="B4" s="28" t="s">
        <v>131</v>
      </c>
      <c r="C4" s="28" t="s">
        <v>132</v>
      </c>
      <c r="D4" s="28" t="s">
        <v>133</v>
      </c>
      <c r="E4" s="28" t="s">
        <v>111</v>
      </c>
      <c r="F4" s="28" t="s">
        <v>134</v>
      </c>
      <c r="G4" s="28" t="s">
        <v>135</v>
      </c>
    </row>
    <row r="5" customFormat="false" ht="18" hidden="false" customHeight="true" outlineLevel="0" collapsed="false">
      <c r="A5" s="39" t="n">
        <f aca="false">COUNTA(A7:A200)</f>
        <v>7</v>
      </c>
      <c r="B5" s="39" t="n">
        <f aca="false">COUNTIF(G7:G200,"In Cultivation")</f>
        <v>2</v>
      </c>
      <c r="C5" s="39" t="n">
        <f aca="false">COUNTIF(G7:G200,"Solicited")</f>
        <v>1</v>
      </c>
      <c r="D5" s="39" t="n">
        <f aca="false">COUNTIF(G7:G200,"Pledged")</f>
        <v>1</v>
      </c>
      <c r="E5" s="39" t="n">
        <f aca="false">COUNTIF(G7:G200,"Gift Received")</f>
        <v>1</v>
      </c>
      <c r="F5" s="39" t="n">
        <f aca="false">SUMIF(G7:G200,"Gift Received",F7:F200)</f>
        <v>250000</v>
      </c>
      <c r="G5" s="39" t="n">
        <f aca="false">SUMIF(G7:G200,"Pledged",F7:F200)</f>
        <v>100000</v>
      </c>
    </row>
    <row r="6" customFormat="false" ht="7.5" hidden="false" customHeight="true" outlineLevel="0" collapsed="false"/>
    <row r="7" customFormat="false" ht="15.75" hidden="false" customHeight="true" outlineLevel="0" collapsed="false">
      <c r="A7" s="9" t="s">
        <v>136</v>
      </c>
      <c r="B7" s="9" t="s">
        <v>137</v>
      </c>
      <c r="C7" s="9" t="s">
        <v>138</v>
      </c>
      <c r="D7" s="9" t="s">
        <v>139</v>
      </c>
      <c r="E7" s="9" t="s">
        <v>140</v>
      </c>
      <c r="F7" s="9" t="s">
        <v>141</v>
      </c>
      <c r="G7" s="9" t="s">
        <v>36</v>
      </c>
      <c r="H7" s="9" t="s">
        <v>142</v>
      </c>
      <c r="I7" s="9" t="s">
        <v>143</v>
      </c>
      <c r="J7" s="9" t="s">
        <v>144</v>
      </c>
      <c r="K7" s="9" t="s">
        <v>58</v>
      </c>
    </row>
    <row r="8" customFormat="false" ht="15" hidden="false" customHeight="true" outlineLevel="0" collapsed="false">
      <c r="A8" s="10" t="s">
        <v>145</v>
      </c>
      <c r="B8" s="12" t="s">
        <v>115</v>
      </c>
      <c r="C8" s="11" t="n">
        <v>500000</v>
      </c>
      <c r="D8" s="11" t="n">
        <v>250000</v>
      </c>
      <c r="E8" s="12" t="s">
        <v>146</v>
      </c>
      <c r="F8" s="11" t="n">
        <v>250000</v>
      </c>
      <c r="G8" s="12" t="s">
        <v>147</v>
      </c>
      <c r="H8" s="22" t="s">
        <v>148</v>
      </c>
      <c r="I8" s="12" t="s">
        <v>149</v>
      </c>
      <c r="J8" s="22" t="s">
        <v>150</v>
      </c>
      <c r="K8" s="21" t="s">
        <v>151</v>
      </c>
    </row>
    <row r="9" customFormat="false" ht="15" hidden="false" customHeight="true" outlineLevel="0" collapsed="false">
      <c r="A9" s="13" t="s">
        <v>152</v>
      </c>
      <c r="B9" s="15" t="s">
        <v>116</v>
      </c>
      <c r="C9" s="14" t="n">
        <v>200000</v>
      </c>
      <c r="D9" s="14" t="n">
        <v>100000</v>
      </c>
      <c r="E9" s="15" t="s">
        <v>153</v>
      </c>
      <c r="F9" s="14" t="n">
        <v>100000</v>
      </c>
      <c r="G9" s="15" t="s">
        <v>133</v>
      </c>
      <c r="H9" s="26" t="s">
        <v>154</v>
      </c>
      <c r="I9" s="15" t="s">
        <v>155</v>
      </c>
      <c r="J9" s="26" t="s">
        <v>156</v>
      </c>
      <c r="K9" s="25" t="s">
        <v>157</v>
      </c>
    </row>
    <row r="10" customFormat="false" ht="15" hidden="false" customHeight="true" outlineLevel="0" collapsed="false">
      <c r="A10" s="10" t="s">
        <v>158</v>
      </c>
      <c r="B10" s="12" t="s">
        <v>117</v>
      </c>
      <c r="C10" s="11" t="n">
        <v>80000</v>
      </c>
      <c r="D10" s="11" t="n">
        <v>50000</v>
      </c>
      <c r="E10" s="12" t="s">
        <v>159</v>
      </c>
      <c r="F10" s="11"/>
      <c r="G10" s="12" t="s">
        <v>132</v>
      </c>
      <c r="H10" s="22" t="s">
        <v>160</v>
      </c>
      <c r="I10" s="12" t="s">
        <v>161</v>
      </c>
      <c r="J10" s="22" t="s">
        <v>162</v>
      </c>
      <c r="K10" s="21" t="s">
        <v>163</v>
      </c>
    </row>
    <row r="11" customFormat="false" ht="15" hidden="false" customHeight="true" outlineLevel="0" collapsed="false">
      <c r="A11" s="13" t="s">
        <v>164</v>
      </c>
      <c r="B11" s="15" t="s">
        <v>117</v>
      </c>
      <c r="C11" s="14" t="n">
        <v>75000</v>
      </c>
      <c r="D11" s="14" t="n">
        <v>50000</v>
      </c>
      <c r="E11" s="15" t="s">
        <v>165</v>
      </c>
      <c r="F11" s="14"/>
      <c r="G11" s="15" t="s">
        <v>131</v>
      </c>
      <c r="H11" s="26" t="s">
        <v>166</v>
      </c>
      <c r="I11" s="15" t="s">
        <v>167</v>
      </c>
      <c r="J11" s="26" t="s">
        <v>168</v>
      </c>
      <c r="K11" s="25" t="s">
        <v>169</v>
      </c>
    </row>
    <row r="12" customFormat="false" ht="15" hidden="false" customHeight="true" outlineLevel="0" collapsed="false">
      <c r="A12" s="10" t="s">
        <v>170</v>
      </c>
      <c r="B12" s="12" t="s">
        <v>118</v>
      </c>
      <c r="C12" s="11" t="n">
        <v>40000</v>
      </c>
      <c r="D12" s="11" t="n">
        <v>25000</v>
      </c>
      <c r="E12" s="12" t="s">
        <v>159</v>
      </c>
      <c r="F12" s="11"/>
      <c r="G12" s="12" t="s">
        <v>131</v>
      </c>
      <c r="H12" s="22" t="s">
        <v>171</v>
      </c>
      <c r="I12" s="12" t="s">
        <v>172</v>
      </c>
      <c r="J12" s="22" t="s">
        <v>173</v>
      </c>
      <c r="K12" s="21" t="s">
        <v>174</v>
      </c>
    </row>
    <row r="13" customFormat="false" ht="15" hidden="false" customHeight="true" outlineLevel="0" collapsed="false">
      <c r="A13" s="13" t="s">
        <v>175</v>
      </c>
      <c r="B13" s="15" t="s">
        <v>119</v>
      </c>
      <c r="C13" s="14" t="n">
        <v>20000</v>
      </c>
      <c r="D13" s="14" t="n">
        <v>10000</v>
      </c>
      <c r="E13" s="15" t="s">
        <v>153</v>
      </c>
      <c r="F13" s="14"/>
      <c r="G13" s="15" t="s">
        <v>176</v>
      </c>
      <c r="H13" s="26" t="s">
        <v>177</v>
      </c>
      <c r="I13" s="15" t="s">
        <v>178</v>
      </c>
      <c r="J13" s="26" t="s">
        <v>179</v>
      </c>
      <c r="K13" s="25" t="s">
        <v>180</v>
      </c>
    </row>
    <row r="14" customFormat="false" ht="15" hidden="false" customHeight="true" outlineLevel="0" collapsed="false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</row>
    <row r="15" customFormat="false" ht="1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</row>
    <row r="16" customFormat="false" ht="15" hidden="false" customHeight="true" outlineLevel="0" collapsed="false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</row>
    <row r="17" customFormat="false" ht="15" hidden="false" customHeight="true" outlineLevel="0" collapsed="false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</row>
    <row r="18" customFormat="false" ht="15" hidden="false" customHeight="true" outlineLevel="0" collapsed="false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customFormat="false" ht="15" hidden="false" customHeight="true" outlineLevel="0" collapsed="false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</row>
    <row r="20" customFormat="false" ht="15" hidden="false" customHeight="true" outlineLevel="0" collapsed="false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</row>
    <row r="21" customFormat="false" ht="15" hidden="false" customHeight="tru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</row>
    <row r="22" customFormat="false" ht="15" hidden="false" customHeight="true" outlineLevel="0" collapsed="false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</row>
    <row r="23" customFormat="false" ht="15" hidden="false" customHeight="tru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</row>
    <row r="24" customFormat="false" ht="15" hidden="false" customHeight="true" outlineLevel="0" collapsed="false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</row>
    <row r="25" customFormat="false" ht="15" hidden="false" customHeight="tru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</row>
    <row r="26" customFormat="false" ht="15" hidden="false" customHeight="true" outlineLevel="0" collapsed="false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</row>
    <row r="27" customFormat="false" ht="1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customFormat="false" ht="15" hidden="false" customHeight="true" outlineLevel="0" collapsed="false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</row>
    <row r="29" customFormat="false" ht="15" hidden="false" customHeight="true" outlineLevel="0" collapsed="false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</row>
    <row r="30" customFormat="false" ht="15" hidden="false" customHeight="true" outlineLevel="0" collapsed="false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customFormat="false" ht="15" hidden="false" customHeight="tru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customFormat="false" ht="15" hidden="false" customHeight="true" outlineLevel="0" collapsed="false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</row>
    <row r="33" customFormat="false" ht="15" hidden="false" customHeight="true" outlineLevel="0" collapsed="false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10"/>
    <col collapsed="false" customWidth="true" hidden="false" outlineLevel="0" max="8" min="8" style="0" width="25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41" t="s">
        <v>181</v>
      </c>
      <c r="B1" s="41"/>
      <c r="C1" s="41"/>
      <c r="D1" s="41"/>
      <c r="E1" s="41"/>
      <c r="F1" s="41"/>
      <c r="G1" s="41"/>
      <c r="H1" s="41"/>
      <c r="I1" s="41"/>
    </row>
    <row r="2" customFormat="false" ht="21.75" hidden="false" customHeight="true" outlineLevel="0" collapsed="false">
      <c r="A2" s="42" t="s">
        <v>182</v>
      </c>
      <c r="B2" s="42"/>
      <c r="C2" s="42"/>
      <c r="D2" s="42"/>
      <c r="E2" s="42"/>
      <c r="F2" s="42"/>
      <c r="G2" s="42"/>
      <c r="H2" s="42"/>
      <c r="I2" s="42"/>
    </row>
    <row r="3" customFormat="false" ht="15" hidden="false" customHeight="true" outlineLevel="0" collapsed="false">
      <c r="A3" s="3" t="s">
        <v>183</v>
      </c>
      <c r="B3" s="3"/>
      <c r="C3" s="3"/>
      <c r="D3" s="3"/>
      <c r="E3" s="3"/>
      <c r="F3" s="3"/>
      <c r="G3" s="3"/>
      <c r="H3" s="3"/>
      <c r="I3" s="3"/>
    </row>
    <row r="4" customFormat="false" ht="7.5" hidden="false" customHeight="true" outlineLevel="0" collapsed="false"/>
    <row r="5" customFormat="false" ht="15.75" hidden="false" customHeight="true" outlineLevel="0" collapsed="false">
      <c r="A5" s="43" t="s">
        <v>184</v>
      </c>
      <c r="B5" s="43" t="s">
        <v>185</v>
      </c>
      <c r="C5" s="43" t="s">
        <v>34</v>
      </c>
      <c r="D5" s="43" t="s">
        <v>35</v>
      </c>
      <c r="E5" s="43" t="s">
        <v>186</v>
      </c>
      <c r="F5" s="43" t="s">
        <v>36</v>
      </c>
      <c r="G5" s="43" t="s">
        <v>187</v>
      </c>
      <c r="H5" s="43" t="s">
        <v>58</v>
      </c>
    </row>
    <row r="6" customFormat="false" ht="18" hidden="false" customHeight="true" outlineLevel="0" collapsed="false">
      <c r="A6" s="44" t="s">
        <v>188</v>
      </c>
      <c r="B6" s="44"/>
      <c r="C6" s="44"/>
      <c r="D6" s="44"/>
      <c r="E6" s="44"/>
      <c r="F6" s="44"/>
      <c r="G6" s="44"/>
      <c r="H6" s="44"/>
      <c r="I6" s="44"/>
    </row>
    <row r="7" customFormat="false" ht="15" hidden="false" customHeight="true" outlineLevel="0" collapsed="false">
      <c r="A7" s="21" t="s">
        <v>189</v>
      </c>
      <c r="B7" s="12" t="s">
        <v>153</v>
      </c>
      <c r="C7" s="18"/>
      <c r="D7" s="18"/>
      <c r="E7" s="22"/>
      <c r="F7" s="19" t="s">
        <v>39</v>
      </c>
      <c r="G7" s="22"/>
      <c r="H7" s="12"/>
    </row>
    <row r="8" customFormat="false" ht="15" hidden="false" customHeight="true" outlineLevel="0" collapsed="false">
      <c r="A8" s="25" t="s">
        <v>190</v>
      </c>
      <c r="B8" s="15" t="s">
        <v>191</v>
      </c>
      <c r="C8" s="18"/>
      <c r="D8" s="18"/>
      <c r="E8" s="26"/>
      <c r="F8" s="19" t="s">
        <v>39</v>
      </c>
      <c r="G8" s="26"/>
      <c r="H8" s="15"/>
    </row>
    <row r="9" customFormat="false" ht="15" hidden="false" customHeight="true" outlineLevel="0" collapsed="false">
      <c r="A9" s="21" t="s">
        <v>192</v>
      </c>
      <c r="B9" s="12" t="s">
        <v>193</v>
      </c>
      <c r="C9" s="18"/>
      <c r="D9" s="18"/>
      <c r="E9" s="22"/>
      <c r="F9" s="19" t="s">
        <v>39</v>
      </c>
      <c r="G9" s="22"/>
      <c r="H9" s="12"/>
    </row>
    <row r="10" customFormat="false" ht="15" hidden="false" customHeight="true" outlineLevel="0" collapsed="false">
      <c r="A10" s="25" t="s">
        <v>194</v>
      </c>
      <c r="B10" s="15" t="s">
        <v>195</v>
      </c>
      <c r="C10" s="18"/>
      <c r="D10" s="18"/>
      <c r="E10" s="26"/>
      <c r="F10" s="19" t="s">
        <v>39</v>
      </c>
      <c r="G10" s="26"/>
      <c r="H10" s="15"/>
    </row>
    <row r="11" customFormat="false" ht="15" hidden="false" customHeight="true" outlineLevel="0" collapsed="false">
      <c r="A11" s="21" t="s">
        <v>196</v>
      </c>
      <c r="B11" s="12" t="s">
        <v>165</v>
      </c>
      <c r="C11" s="18"/>
      <c r="D11" s="18"/>
      <c r="E11" s="22"/>
      <c r="F11" s="19" t="s">
        <v>39</v>
      </c>
      <c r="G11" s="22"/>
      <c r="H11" s="12"/>
    </row>
    <row r="12" customFormat="false" ht="15" hidden="false" customHeight="true" outlineLevel="0" collapsed="false">
      <c r="A12" s="25" t="s">
        <v>197</v>
      </c>
      <c r="B12" s="15" t="s">
        <v>153</v>
      </c>
      <c r="C12" s="18"/>
      <c r="D12" s="18"/>
      <c r="E12" s="26"/>
      <c r="F12" s="19" t="s">
        <v>39</v>
      </c>
      <c r="G12" s="26"/>
      <c r="H12" s="15"/>
    </row>
    <row r="13" customFormat="false" ht="18" hidden="false" customHeight="true" outlineLevel="0" collapsed="false">
      <c r="A13" s="44" t="s">
        <v>198</v>
      </c>
      <c r="B13" s="44"/>
      <c r="C13" s="44"/>
      <c r="D13" s="44"/>
      <c r="E13" s="44"/>
      <c r="F13" s="44"/>
      <c r="G13" s="44"/>
      <c r="H13" s="44"/>
      <c r="I13" s="44"/>
    </row>
    <row r="14" customFormat="false" ht="15" hidden="false" customHeight="true" outlineLevel="0" collapsed="false">
      <c r="A14" s="21" t="s">
        <v>199</v>
      </c>
      <c r="B14" s="12" t="s">
        <v>165</v>
      </c>
      <c r="C14" s="18"/>
      <c r="D14" s="18"/>
      <c r="E14" s="22"/>
      <c r="F14" s="19" t="s">
        <v>39</v>
      </c>
      <c r="G14" s="22"/>
      <c r="H14" s="12"/>
    </row>
    <row r="15" customFormat="false" ht="15" hidden="false" customHeight="true" outlineLevel="0" collapsed="false">
      <c r="A15" s="25" t="s">
        <v>200</v>
      </c>
      <c r="B15" s="15" t="s">
        <v>146</v>
      </c>
      <c r="C15" s="18"/>
      <c r="D15" s="18"/>
      <c r="E15" s="26"/>
      <c r="F15" s="19" t="s">
        <v>39</v>
      </c>
      <c r="G15" s="26"/>
      <c r="H15" s="15"/>
    </row>
    <row r="16" customFormat="false" ht="15" hidden="false" customHeight="true" outlineLevel="0" collapsed="false">
      <c r="A16" s="21" t="s">
        <v>201</v>
      </c>
      <c r="B16" s="12" t="s">
        <v>202</v>
      </c>
      <c r="C16" s="18"/>
      <c r="D16" s="18"/>
      <c r="E16" s="22"/>
      <c r="F16" s="19" t="s">
        <v>39</v>
      </c>
      <c r="G16" s="22"/>
      <c r="H16" s="12"/>
    </row>
    <row r="17" customFormat="false" ht="15" hidden="false" customHeight="true" outlineLevel="0" collapsed="false">
      <c r="A17" s="25" t="s">
        <v>203</v>
      </c>
      <c r="B17" s="15" t="s">
        <v>165</v>
      </c>
      <c r="C17" s="18"/>
      <c r="D17" s="18"/>
      <c r="E17" s="26"/>
      <c r="F17" s="19" t="s">
        <v>39</v>
      </c>
      <c r="G17" s="26"/>
      <c r="H17" s="15"/>
    </row>
    <row r="18" customFormat="false" ht="15" hidden="false" customHeight="true" outlineLevel="0" collapsed="false">
      <c r="A18" s="21" t="s">
        <v>204</v>
      </c>
      <c r="B18" s="12" t="s">
        <v>205</v>
      </c>
      <c r="C18" s="18"/>
      <c r="D18" s="18"/>
      <c r="E18" s="22"/>
      <c r="F18" s="19" t="s">
        <v>39</v>
      </c>
      <c r="G18" s="22"/>
      <c r="H18" s="12"/>
    </row>
    <row r="19" customFormat="false" ht="18" hidden="false" customHeight="true" outlineLevel="0" collapsed="false">
      <c r="A19" s="44" t="s">
        <v>206</v>
      </c>
      <c r="B19" s="44"/>
      <c r="C19" s="44"/>
      <c r="D19" s="44"/>
      <c r="E19" s="44"/>
      <c r="F19" s="44"/>
      <c r="G19" s="44"/>
      <c r="H19" s="44"/>
      <c r="I19" s="44"/>
    </row>
    <row r="20" customFormat="false" ht="15" hidden="false" customHeight="true" outlineLevel="0" collapsed="false">
      <c r="A20" s="25" t="s">
        <v>207</v>
      </c>
      <c r="B20" s="15" t="s">
        <v>153</v>
      </c>
      <c r="C20" s="18"/>
      <c r="D20" s="18"/>
      <c r="E20" s="26"/>
      <c r="F20" s="19" t="s">
        <v>39</v>
      </c>
      <c r="G20" s="26"/>
      <c r="H20" s="15"/>
    </row>
    <row r="21" customFormat="false" ht="15" hidden="false" customHeight="true" outlineLevel="0" collapsed="false">
      <c r="A21" s="21" t="s">
        <v>208</v>
      </c>
      <c r="B21" s="12" t="s">
        <v>209</v>
      </c>
      <c r="C21" s="18"/>
      <c r="D21" s="18"/>
      <c r="E21" s="22"/>
      <c r="F21" s="19" t="s">
        <v>39</v>
      </c>
      <c r="G21" s="22"/>
      <c r="H21" s="12"/>
    </row>
    <row r="22" customFormat="false" ht="15" hidden="false" customHeight="true" outlineLevel="0" collapsed="false">
      <c r="A22" s="25" t="s">
        <v>210</v>
      </c>
      <c r="B22" s="15" t="s">
        <v>165</v>
      </c>
      <c r="C22" s="18"/>
      <c r="D22" s="18"/>
      <c r="E22" s="26"/>
      <c r="F22" s="19" t="s">
        <v>39</v>
      </c>
      <c r="G22" s="26"/>
      <c r="H22" s="15"/>
    </row>
    <row r="23" customFormat="false" ht="15" hidden="false" customHeight="true" outlineLevel="0" collapsed="false">
      <c r="A23" s="21" t="s">
        <v>211</v>
      </c>
      <c r="B23" s="12" t="s">
        <v>212</v>
      </c>
      <c r="C23" s="18"/>
      <c r="D23" s="18"/>
      <c r="E23" s="22"/>
      <c r="F23" s="19" t="s">
        <v>39</v>
      </c>
      <c r="G23" s="22"/>
      <c r="H23" s="12"/>
    </row>
    <row r="24" customFormat="false" ht="18" hidden="false" customHeight="true" outlineLevel="0" collapsed="false">
      <c r="A24" s="44" t="s">
        <v>213</v>
      </c>
      <c r="B24" s="44"/>
      <c r="C24" s="44"/>
      <c r="D24" s="44"/>
      <c r="E24" s="44"/>
      <c r="F24" s="44"/>
      <c r="G24" s="44"/>
      <c r="H24" s="44"/>
      <c r="I24" s="44"/>
    </row>
    <row r="25" customFormat="false" ht="15" hidden="false" customHeight="true" outlineLevel="0" collapsed="false">
      <c r="A25" s="25" t="s">
        <v>214</v>
      </c>
      <c r="B25" s="15" t="s">
        <v>205</v>
      </c>
      <c r="C25" s="18"/>
      <c r="D25" s="18"/>
      <c r="E25" s="26"/>
      <c r="F25" s="19" t="s">
        <v>39</v>
      </c>
      <c r="G25" s="26"/>
      <c r="H25" s="15"/>
    </row>
    <row r="26" customFormat="false" ht="15" hidden="false" customHeight="true" outlineLevel="0" collapsed="false">
      <c r="A26" s="21" t="s">
        <v>215</v>
      </c>
      <c r="B26" s="12" t="s">
        <v>195</v>
      </c>
      <c r="C26" s="18"/>
      <c r="D26" s="18"/>
      <c r="E26" s="22"/>
      <c r="F26" s="19" t="s">
        <v>39</v>
      </c>
      <c r="G26" s="22"/>
      <c r="H26" s="12"/>
    </row>
    <row r="27" customFormat="false" ht="15" hidden="false" customHeight="true" outlineLevel="0" collapsed="false">
      <c r="A27" s="25" t="s">
        <v>216</v>
      </c>
      <c r="B27" s="15" t="s">
        <v>165</v>
      </c>
      <c r="C27" s="18"/>
      <c r="D27" s="18"/>
      <c r="E27" s="26"/>
      <c r="F27" s="19" t="s">
        <v>39</v>
      </c>
      <c r="G27" s="26"/>
      <c r="H27" s="15"/>
    </row>
    <row r="28" customFormat="false" ht="15" hidden="false" customHeight="true" outlineLevel="0" collapsed="false">
      <c r="A28" s="21" t="s">
        <v>217</v>
      </c>
      <c r="B28" s="12" t="s">
        <v>153</v>
      </c>
      <c r="C28" s="18"/>
      <c r="D28" s="18"/>
      <c r="E28" s="22"/>
      <c r="F28" s="19" t="s">
        <v>39</v>
      </c>
      <c r="G28" s="22"/>
      <c r="H28" s="12"/>
    </row>
    <row r="29" customFormat="false" ht="18" hidden="false" customHeight="true" outlineLevel="0" collapsed="false">
      <c r="A29" s="44" t="s">
        <v>218</v>
      </c>
      <c r="B29" s="44"/>
      <c r="C29" s="44"/>
      <c r="D29" s="44"/>
      <c r="E29" s="44"/>
      <c r="F29" s="44"/>
      <c r="G29" s="44"/>
      <c r="H29" s="44"/>
      <c r="I29" s="44"/>
    </row>
    <row r="30" customFormat="false" ht="15" hidden="false" customHeight="true" outlineLevel="0" collapsed="false">
      <c r="A30" s="25" t="s">
        <v>219</v>
      </c>
      <c r="B30" s="15" t="s">
        <v>220</v>
      </c>
      <c r="C30" s="18"/>
      <c r="D30" s="18"/>
      <c r="E30" s="26"/>
      <c r="F30" s="19" t="s">
        <v>39</v>
      </c>
      <c r="G30" s="26"/>
      <c r="H30" s="15"/>
    </row>
    <row r="31" customFormat="false" ht="15" hidden="false" customHeight="true" outlineLevel="0" collapsed="false">
      <c r="A31" s="21" t="s">
        <v>221</v>
      </c>
      <c r="B31" s="12" t="s">
        <v>165</v>
      </c>
      <c r="C31" s="18"/>
      <c r="D31" s="18"/>
      <c r="E31" s="22"/>
      <c r="F31" s="19" t="s">
        <v>39</v>
      </c>
      <c r="G31" s="22"/>
      <c r="H31" s="12"/>
    </row>
    <row r="32" customFormat="false" ht="15" hidden="false" customHeight="true" outlineLevel="0" collapsed="false">
      <c r="A32" s="25" t="s">
        <v>222</v>
      </c>
      <c r="B32" s="15" t="s">
        <v>212</v>
      </c>
      <c r="C32" s="18"/>
      <c r="D32" s="18"/>
      <c r="E32" s="26"/>
      <c r="F32" s="19" t="s">
        <v>39</v>
      </c>
      <c r="G32" s="26"/>
      <c r="H32" s="15"/>
    </row>
    <row r="33" customFormat="false" ht="18" hidden="false" customHeight="true" outlineLevel="0" collapsed="false">
      <c r="A33" s="44" t="s">
        <v>223</v>
      </c>
      <c r="B33" s="44"/>
      <c r="C33" s="44"/>
      <c r="D33" s="44"/>
      <c r="E33" s="44"/>
      <c r="F33" s="44"/>
      <c r="G33" s="44"/>
      <c r="H33" s="44"/>
      <c r="I33" s="44"/>
    </row>
    <row r="34" customFormat="false" ht="15" hidden="false" customHeight="true" outlineLevel="0" collapsed="false">
      <c r="A34" s="21" t="s">
        <v>224</v>
      </c>
      <c r="B34" s="12" t="s">
        <v>205</v>
      </c>
      <c r="C34" s="18"/>
      <c r="D34" s="18"/>
      <c r="E34" s="22"/>
      <c r="F34" s="19" t="s">
        <v>39</v>
      </c>
      <c r="G34" s="22"/>
      <c r="H34" s="12"/>
    </row>
    <row r="35" customFormat="false" ht="15" hidden="false" customHeight="true" outlineLevel="0" collapsed="false">
      <c r="A35" s="25" t="s">
        <v>225</v>
      </c>
      <c r="B35" s="15" t="s">
        <v>226</v>
      </c>
      <c r="C35" s="18"/>
      <c r="D35" s="18"/>
      <c r="E35" s="26"/>
      <c r="F35" s="19" t="s">
        <v>39</v>
      </c>
      <c r="G35" s="26"/>
      <c r="H35" s="15"/>
    </row>
    <row r="36" customFormat="false" ht="15" hidden="false" customHeight="true" outlineLevel="0" collapsed="false">
      <c r="A36" s="21" t="s">
        <v>227</v>
      </c>
      <c r="B36" s="12" t="s">
        <v>153</v>
      </c>
      <c r="C36" s="18"/>
      <c r="D36" s="18"/>
      <c r="E36" s="22"/>
      <c r="F36" s="19" t="s">
        <v>39</v>
      </c>
      <c r="G36" s="22"/>
      <c r="H36" s="12"/>
    </row>
    <row r="37" customFormat="false" ht="15" hidden="false" customHeight="true" outlineLevel="0" collapsed="false">
      <c r="A37" s="25" t="s">
        <v>228</v>
      </c>
      <c r="B37" s="15" t="s">
        <v>165</v>
      </c>
      <c r="C37" s="18"/>
      <c r="D37" s="18"/>
      <c r="E37" s="26"/>
      <c r="F37" s="19" t="s">
        <v>39</v>
      </c>
      <c r="G37" s="26"/>
      <c r="H37" s="15"/>
    </row>
  </sheetData>
  <mergeCells count="9">
    <mergeCell ref="A1:I1"/>
    <mergeCell ref="A2:I2"/>
    <mergeCell ref="A3:I3"/>
    <mergeCell ref="A6:I6"/>
    <mergeCell ref="A13:I13"/>
    <mergeCell ref="A19:I19"/>
    <mergeCell ref="A24:I24"/>
    <mergeCell ref="A29:I29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4"/>
  </cols>
  <sheetData>
    <row r="1" customFormat="false" ht="27.75" hidden="false" customHeight="true" outlineLevel="0" collapsed="false">
      <c r="A1" s="45" t="s">
        <v>229</v>
      </c>
      <c r="B1" s="45"/>
      <c r="C1" s="45"/>
      <c r="D1" s="45"/>
      <c r="E1" s="45"/>
      <c r="F1" s="45"/>
      <c r="G1" s="45"/>
      <c r="H1" s="45"/>
    </row>
    <row r="2" customFormat="false" ht="21.75" hidden="false" customHeight="true" outlineLevel="0" collapsed="false">
      <c r="A2" s="2" t="s">
        <v>230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231</v>
      </c>
      <c r="B3" s="3"/>
      <c r="C3" s="3"/>
      <c r="D3" s="3"/>
      <c r="E3" s="3"/>
      <c r="F3" s="3"/>
      <c r="G3" s="3"/>
      <c r="H3" s="3"/>
    </row>
    <row r="4" customFormat="false" ht="15.75" hidden="false" customHeight="true" outlineLevel="0" collapsed="false">
      <c r="A4" s="46" t="s">
        <v>232</v>
      </c>
      <c r="B4" s="46" t="s">
        <v>233</v>
      </c>
      <c r="C4" s="46" t="s">
        <v>234</v>
      </c>
      <c r="D4" s="46" t="s">
        <v>235</v>
      </c>
      <c r="E4" s="46" t="s">
        <v>36</v>
      </c>
    </row>
    <row r="5" customFormat="false" ht="18" hidden="false" customHeight="true" outlineLevel="0" collapsed="false">
      <c r="A5" s="47" t="n">
        <f aca="false">SUM(C8:C50)</f>
        <v>297500</v>
      </c>
      <c r="B5" s="47" t="n">
        <f aca="false">SUM(E8:E50)</f>
        <v>0</v>
      </c>
      <c r="C5" s="47" t="n">
        <f aca="false">A5-B5</f>
        <v>297500</v>
      </c>
      <c r="D5" s="47" t="str">
        <f aca="false">IF(Dashboard!D8=0,"-",A5/Dashboard!D8)</f>
        <v>-</v>
      </c>
      <c r="E5" s="47" t="str">
        <f aca="false">IF(Dashboard!D8=0,"-",IF(A5/Dashboard!D8&lt;=0.1,"✅ Within Target",IF(A5/Dashboard!D8&lt;=0.15,"⚠️ Monitor Closely","❌ Over Industry Norm")))</f>
        <v>-</v>
      </c>
    </row>
    <row r="6" customFormat="false" ht="7.5" hidden="false" customHeight="true" outlineLevel="0" collapsed="false"/>
    <row r="7" customFormat="false" ht="15.75" hidden="false" customHeight="true" outlineLevel="0" collapsed="false">
      <c r="A7" s="46" t="s">
        <v>236</v>
      </c>
      <c r="B7" s="46" t="s">
        <v>237</v>
      </c>
      <c r="C7" s="46" t="s">
        <v>238</v>
      </c>
      <c r="D7" s="46" t="s">
        <v>239</v>
      </c>
      <c r="E7" s="46" t="s">
        <v>240</v>
      </c>
      <c r="F7" s="46" t="s">
        <v>241</v>
      </c>
      <c r="G7" s="46" t="s">
        <v>242</v>
      </c>
      <c r="H7" s="46" t="s">
        <v>243</v>
      </c>
    </row>
    <row r="8" customFormat="false" ht="15" hidden="false" customHeight="true" outlineLevel="0" collapsed="false">
      <c r="A8" s="48" t="s">
        <v>244</v>
      </c>
      <c r="B8" s="49" t="s">
        <v>245</v>
      </c>
      <c r="C8" s="50" t="n">
        <v>25000</v>
      </c>
      <c r="D8" s="51" t="n">
        <v>1</v>
      </c>
      <c r="E8" s="52"/>
      <c r="F8" s="50" t="n">
        <f aca="false">C8-E8</f>
        <v>25000</v>
      </c>
      <c r="G8" s="18"/>
      <c r="H8" s="49"/>
    </row>
    <row r="9" customFormat="false" ht="15" hidden="false" customHeight="true" outlineLevel="0" collapsed="false">
      <c r="A9" s="48" t="s">
        <v>244</v>
      </c>
      <c r="B9" s="49" t="s">
        <v>246</v>
      </c>
      <c r="C9" s="50" t="n">
        <v>5000</v>
      </c>
      <c r="D9" s="51" t="n">
        <v>1</v>
      </c>
      <c r="E9" s="52"/>
      <c r="F9" s="50" t="n">
        <f aca="false">C9-E9</f>
        <v>5000</v>
      </c>
      <c r="G9" s="18"/>
      <c r="H9" s="49"/>
    </row>
    <row r="10" customFormat="false" ht="15" hidden="false" customHeight="true" outlineLevel="0" collapsed="false">
      <c r="A10" s="48" t="s">
        <v>244</v>
      </c>
      <c r="B10" s="49" t="s">
        <v>247</v>
      </c>
      <c r="C10" s="50" t="n">
        <v>3000</v>
      </c>
      <c r="D10" s="51" t="n">
        <v>1</v>
      </c>
      <c r="E10" s="52"/>
      <c r="F10" s="50" t="n">
        <f aca="false">C10-E10</f>
        <v>3000</v>
      </c>
      <c r="G10" s="18"/>
      <c r="H10" s="49"/>
    </row>
    <row r="11" customFormat="false" ht="15" hidden="false" customHeight="true" outlineLevel="0" collapsed="false">
      <c r="A11" s="48" t="s">
        <v>244</v>
      </c>
      <c r="B11" s="49" t="s">
        <v>248</v>
      </c>
      <c r="C11" s="50" t="n">
        <v>2000</v>
      </c>
      <c r="D11" s="51" t="n">
        <v>1</v>
      </c>
      <c r="E11" s="52"/>
      <c r="F11" s="50" t="n">
        <f aca="false">C11-E11</f>
        <v>2000</v>
      </c>
      <c r="G11" s="18"/>
      <c r="H11" s="49"/>
    </row>
    <row r="12" customFormat="false" ht="15" hidden="false" customHeight="true" outlineLevel="0" collapsed="false">
      <c r="A12" s="53" t="s">
        <v>249</v>
      </c>
      <c r="B12" s="54" t="s">
        <v>250</v>
      </c>
      <c r="C12" s="55" t="n">
        <v>2500</v>
      </c>
      <c r="D12" s="56" t="n">
        <v>500</v>
      </c>
      <c r="E12" s="52"/>
      <c r="F12" s="55" t="n">
        <f aca="false">C12-E12</f>
        <v>2500</v>
      </c>
      <c r="G12" s="18"/>
      <c r="H12" s="54"/>
    </row>
    <row r="13" customFormat="false" ht="15" hidden="false" customHeight="true" outlineLevel="0" collapsed="false">
      <c r="A13" s="53" t="s">
        <v>249</v>
      </c>
      <c r="B13" s="54" t="s">
        <v>251</v>
      </c>
      <c r="C13" s="55" t="n">
        <v>3000</v>
      </c>
      <c r="D13" s="56" t="n">
        <v>1</v>
      </c>
      <c r="E13" s="52"/>
      <c r="F13" s="55" t="n">
        <f aca="false">C13-E13</f>
        <v>3000</v>
      </c>
      <c r="G13" s="18"/>
      <c r="H13" s="54"/>
    </row>
    <row r="14" customFormat="false" ht="15" hidden="false" customHeight="true" outlineLevel="0" collapsed="false">
      <c r="A14" s="53" t="s">
        <v>249</v>
      </c>
      <c r="B14" s="54" t="s">
        <v>252</v>
      </c>
      <c r="C14" s="55" t="n">
        <v>8000</v>
      </c>
      <c r="D14" s="56" t="n">
        <v>1</v>
      </c>
      <c r="E14" s="52"/>
      <c r="F14" s="55" t="n">
        <f aca="false">C14-E14</f>
        <v>8000</v>
      </c>
      <c r="G14" s="18"/>
      <c r="H14" s="54"/>
    </row>
    <row r="15" customFormat="false" ht="15" hidden="false" customHeight="true" outlineLevel="0" collapsed="false">
      <c r="A15" s="53" t="s">
        <v>249</v>
      </c>
      <c r="B15" s="54" t="s">
        <v>253</v>
      </c>
      <c r="C15" s="55" t="n">
        <v>1500</v>
      </c>
      <c r="D15" s="56" t="n">
        <v>1</v>
      </c>
      <c r="E15" s="52"/>
      <c r="F15" s="55" t="n">
        <f aca="false">C15-E15</f>
        <v>1500</v>
      </c>
      <c r="G15" s="18"/>
      <c r="H15" s="54"/>
    </row>
    <row r="16" customFormat="false" ht="15" hidden="false" customHeight="true" outlineLevel="0" collapsed="false">
      <c r="A16" s="53" t="s">
        <v>249</v>
      </c>
      <c r="B16" s="54" t="s">
        <v>254</v>
      </c>
      <c r="C16" s="55" t="n">
        <v>4000</v>
      </c>
      <c r="D16" s="56" t="n">
        <v>2500</v>
      </c>
      <c r="E16" s="52"/>
      <c r="F16" s="55" t="n">
        <f aca="false">C16-E16</f>
        <v>4000</v>
      </c>
      <c r="G16" s="18"/>
      <c r="H16" s="54"/>
    </row>
    <row r="17" customFormat="false" ht="15" hidden="false" customHeight="true" outlineLevel="0" collapsed="false">
      <c r="A17" s="57" t="s">
        <v>255</v>
      </c>
      <c r="B17" s="58" t="s">
        <v>256</v>
      </c>
      <c r="C17" s="59" t="n">
        <v>6000</v>
      </c>
      <c r="D17" s="23" t="n">
        <v>3</v>
      </c>
      <c r="E17" s="52"/>
      <c r="F17" s="59" t="n">
        <f aca="false">C17-E17</f>
        <v>6000</v>
      </c>
      <c r="G17" s="18"/>
      <c r="H17" s="58"/>
    </row>
    <row r="18" customFormat="false" ht="15" hidden="false" customHeight="true" outlineLevel="0" collapsed="false">
      <c r="A18" s="57" t="s">
        <v>255</v>
      </c>
      <c r="B18" s="58" t="s">
        <v>257</v>
      </c>
      <c r="C18" s="59" t="n">
        <v>8000</v>
      </c>
      <c r="D18" s="23" t="n">
        <v>1</v>
      </c>
      <c r="E18" s="52"/>
      <c r="F18" s="59" t="n">
        <f aca="false">C18-E18</f>
        <v>8000</v>
      </c>
      <c r="G18" s="18"/>
      <c r="H18" s="58"/>
    </row>
    <row r="19" customFormat="false" ht="15" hidden="false" customHeight="true" outlineLevel="0" collapsed="false">
      <c r="A19" s="57" t="s">
        <v>255</v>
      </c>
      <c r="B19" s="58" t="s">
        <v>258</v>
      </c>
      <c r="C19" s="59" t="n">
        <v>5000</v>
      </c>
      <c r="D19" s="23" t="n">
        <v>1</v>
      </c>
      <c r="E19" s="52"/>
      <c r="F19" s="59" t="n">
        <f aca="false">C19-E19</f>
        <v>5000</v>
      </c>
      <c r="G19" s="18"/>
      <c r="H19" s="58"/>
    </row>
    <row r="20" customFormat="false" ht="15" hidden="false" customHeight="true" outlineLevel="0" collapsed="false">
      <c r="A20" s="57" t="s">
        <v>255</v>
      </c>
      <c r="B20" s="58" t="s">
        <v>259</v>
      </c>
      <c r="C20" s="59" t="n">
        <v>2000</v>
      </c>
      <c r="D20" s="23" t="n">
        <v>2</v>
      </c>
      <c r="E20" s="52"/>
      <c r="F20" s="59" t="n">
        <f aca="false">C20-E20</f>
        <v>2000</v>
      </c>
      <c r="G20" s="18"/>
      <c r="H20" s="58"/>
    </row>
    <row r="21" customFormat="false" ht="15" hidden="false" customHeight="true" outlineLevel="0" collapsed="false">
      <c r="A21" s="60" t="s">
        <v>260</v>
      </c>
      <c r="B21" s="61" t="s">
        <v>261</v>
      </c>
      <c r="C21" s="62" t="n">
        <v>15000</v>
      </c>
      <c r="D21" s="63" t="n">
        <v>1</v>
      </c>
      <c r="E21" s="52"/>
      <c r="F21" s="62" t="n">
        <f aca="false">C21-E21</f>
        <v>15000</v>
      </c>
      <c r="G21" s="18"/>
      <c r="H21" s="61"/>
    </row>
    <row r="22" customFormat="false" ht="15" hidden="false" customHeight="true" outlineLevel="0" collapsed="false">
      <c r="A22" s="60" t="s">
        <v>260</v>
      </c>
      <c r="B22" s="61" t="s">
        <v>262</v>
      </c>
      <c r="C22" s="62" t="n">
        <v>5000</v>
      </c>
      <c r="D22" s="63" t="n">
        <v>1</v>
      </c>
      <c r="E22" s="52"/>
      <c r="F22" s="62" t="n">
        <f aca="false">C22-E22</f>
        <v>5000</v>
      </c>
      <c r="G22" s="18"/>
      <c r="H22" s="61"/>
    </row>
    <row r="23" customFormat="false" ht="15" hidden="false" customHeight="true" outlineLevel="0" collapsed="false">
      <c r="A23" s="60" t="s">
        <v>260</v>
      </c>
      <c r="B23" s="61" t="s">
        <v>263</v>
      </c>
      <c r="C23" s="62" t="n">
        <v>3000</v>
      </c>
      <c r="D23" s="63" t="n">
        <v>50</v>
      </c>
      <c r="E23" s="52"/>
      <c r="F23" s="62" t="n">
        <f aca="false">C23-E23</f>
        <v>3000</v>
      </c>
      <c r="G23" s="18"/>
      <c r="H23" s="61"/>
    </row>
    <row r="24" customFormat="false" ht="15" hidden="false" customHeight="true" outlineLevel="0" collapsed="false">
      <c r="A24" s="64" t="s">
        <v>264</v>
      </c>
      <c r="B24" s="65" t="s">
        <v>265</v>
      </c>
      <c r="C24" s="66" t="n">
        <v>20000</v>
      </c>
      <c r="D24" s="67" t="n">
        <v>1</v>
      </c>
      <c r="E24" s="52"/>
      <c r="F24" s="66" t="n">
        <f aca="false">C24-E24</f>
        <v>20000</v>
      </c>
      <c r="G24" s="18"/>
      <c r="H24" s="65"/>
    </row>
    <row r="25" customFormat="false" ht="15" hidden="false" customHeight="true" outlineLevel="0" collapsed="false">
      <c r="A25" s="64" t="s">
        <v>264</v>
      </c>
      <c r="B25" s="65" t="s">
        <v>266</v>
      </c>
      <c r="C25" s="66" t="n">
        <v>15000</v>
      </c>
      <c r="D25" s="67" t="n">
        <v>1</v>
      </c>
      <c r="E25" s="52"/>
      <c r="F25" s="66" t="n">
        <f aca="false">C25-E25</f>
        <v>15000</v>
      </c>
      <c r="G25" s="18"/>
      <c r="H25" s="65"/>
    </row>
    <row r="26" customFormat="false" ht="15" hidden="false" customHeight="true" outlineLevel="0" collapsed="false">
      <c r="A26" s="64" t="s">
        <v>264</v>
      </c>
      <c r="B26" s="65" t="s">
        <v>267</v>
      </c>
      <c r="C26" s="66" t="n">
        <v>3000</v>
      </c>
      <c r="D26" s="67" t="n">
        <v>1</v>
      </c>
      <c r="E26" s="52"/>
      <c r="F26" s="66" t="n">
        <f aca="false">C26-E26</f>
        <v>3000</v>
      </c>
      <c r="G26" s="18"/>
      <c r="H26" s="65"/>
    </row>
    <row r="27" customFormat="false" ht="15" hidden="false" customHeight="true" outlineLevel="0" collapsed="false">
      <c r="A27" s="64" t="s">
        <v>264</v>
      </c>
      <c r="B27" s="65" t="s">
        <v>268</v>
      </c>
      <c r="C27" s="66" t="n">
        <v>500</v>
      </c>
      <c r="D27" s="67" t="n">
        <v>1</v>
      </c>
      <c r="E27" s="52"/>
      <c r="F27" s="66" t="n">
        <f aca="false">C27-E27</f>
        <v>500</v>
      </c>
      <c r="G27" s="18"/>
      <c r="H27" s="65"/>
    </row>
    <row r="28" customFormat="false" ht="15" hidden="false" customHeight="true" outlineLevel="0" collapsed="false">
      <c r="A28" s="68" t="s">
        <v>269</v>
      </c>
      <c r="B28" s="69" t="s">
        <v>270</v>
      </c>
      <c r="C28" s="70" t="n">
        <v>5000</v>
      </c>
      <c r="D28" s="71" t="n">
        <v>1</v>
      </c>
      <c r="E28" s="52"/>
      <c r="F28" s="70" t="n">
        <f aca="false">C28-E28</f>
        <v>5000</v>
      </c>
      <c r="G28" s="18"/>
      <c r="H28" s="69"/>
    </row>
    <row r="29" customFormat="false" ht="15" hidden="false" customHeight="true" outlineLevel="0" collapsed="false">
      <c r="A29" s="68" t="s">
        <v>269</v>
      </c>
      <c r="B29" s="69" t="s">
        <v>271</v>
      </c>
      <c r="C29" s="70" t="n">
        <v>1000</v>
      </c>
      <c r="D29" s="71" t="n">
        <v>1</v>
      </c>
      <c r="E29" s="52"/>
      <c r="F29" s="70" t="n">
        <f aca="false">C29-E29</f>
        <v>1000</v>
      </c>
      <c r="G29" s="18"/>
      <c r="H29" s="69"/>
    </row>
    <row r="30" customFormat="false" ht="15" hidden="false" customHeight="true" outlineLevel="0" collapsed="false">
      <c r="A30" s="72" t="s">
        <v>272</v>
      </c>
      <c r="B30" s="73" t="s">
        <v>273</v>
      </c>
      <c r="C30" s="74" t="n">
        <v>6250</v>
      </c>
      <c r="D30" s="75" t="n">
        <v>1</v>
      </c>
      <c r="E30" s="52"/>
      <c r="F30" s="74" t="n">
        <f aca="false">C30-E30</f>
        <v>6250</v>
      </c>
      <c r="G30" s="18"/>
      <c r="H30" s="73"/>
    </row>
    <row r="31" customFormat="false" ht="18" hidden="false" customHeight="true" outlineLevel="0" collapsed="false">
      <c r="A31" s="37" t="s">
        <v>274</v>
      </c>
      <c r="B31" s="37"/>
      <c r="C31" s="38" t="n">
        <f aca="false">SUM(C8:C30)</f>
        <v>148750</v>
      </c>
      <c r="D31" s="38"/>
      <c r="E31" s="38" t="n">
        <f aca="false">SUM(E8:E30)</f>
        <v>0</v>
      </c>
      <c r="F31" s="38" t="n">
        <f aca="false">C31-E31</f>
        <v>148750</v>
      </c>
      <c r="G31" s="38"/>
      <c r="H31" s="38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76" t="s">
        <v>275</v>
      </c>
      <c r="B1" s="76"/>
      <c r="C1" s="76"/>
      <c r="D1" s="76"/>
      <c r="E1" s="76"/>
      <c r="F1" s="76"/>
      <c r="G1" s="76"/>
      <c r="H1" s="76"/>
      <c r="I1" s="76"/>
    </row>
    <row r="2" customFormat="false" ht="21.75" hidden="false" customHeight="true" outlineLevel="0" collapsed="false">
      <c r="A2" s="2" t="s">
        <v>276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A3" s="3" t="s">
        <v>277</v>
      </c>
      <c r="B3" s="3"/>
      <c r="C3" s="3"/>
      <c r="D3" s="3"/>
      <c r="E3" s="3"/>
      <c r="F3" s="3"/>
      <c r="G3" s="3"/>
      <c r="H3" s="3"/>
      <c r="I3" s="3"/>
    </row>
    <row r="4" customFormat="false" ht="7.5" hidden="false" customHeight="true" outlineLevel="0" collapsed="false"/>
    <row r="5" customFormat="false" ht="18" hidden="false" customHeight="true" outlineLevel="0" collapsed="false">
      <c r="A5" s="16" t="s">
        <v>278</v>
      </c>
      <c r="B5" s="16"/>
      <c r="C5" s="16"/>
      <c r="D5" s="16"/>
      <c r="E5" s="16"/>
      <c r="F5" s="16"/>
      <c r="G5" s="16"/>
      <c r="H5" s="16"/>
      <c r="I5" s="16"/>
    </row>
    <row r="6" customFormat="false" ht="15.75" hidden="false" customHeight="true" outlineLevel="0" collapsed="false">
      <c r="A6" s="17" t="s">
        <v>279</v>
      </c>
      <c r="B6" s="17" t="s">
        <v>280</v>
      </c>
      <c r="C6" s="17" t="s">
        <v>281</v>
      </c>
      <c r="D6" s="17" t="s">
        <v>282</v>
      </c>
      <c r="E6" s="17" t="s">
        <v>283</v>
      </c>
      <c r="F6" s="17" t="s">
        <v>284</v>
      </c>
      <c r="G6" s="17" t="s">
        <v>285</v>
      </c>
      <c r="H6" s="17" t="s">
        <v>286</v>
      </c>
      <c r="I6" s="17" t="s">
        <v>58</v>
      </c>
    </row>
    <row r="7" customFormat="false" ht="15.75" hidden="false" customHeight="true" outlineLevel="0" collapsed="false">
      <c r="A7" s="48" t="s">
        <v>287</v>
      </c>
      <c r="B7" s="48" t="s">
        <v>288</v>
      </c>
      <c r="C7" s="77" t="s">
        <v>289</v>
      </c>
      <c r="D7" s="77" t="s">
        <v>290</v>
      </c>
      <c r="E7" s="51" t="n">
        <v>1</v>
      </c>
      <c r="F7" s="18"/>
      <c r="G7" s="51" t="n">
        <f aca="false">E7-F7</f>
        <v>1</v>
      </c>
      <c r="H7" s="51" t="s">
        <v>291</v>
      </c>
      <c r="I7" s="49" t="s">
        <v>292</v>
      </c>
    </row>
    <row r="8" customFormat="false" ht="15.75" hidden="false" customHeight="true" outlineLevel="0" collapsed="false">
      <c r="A8" s="68" t="s">
        <v>293</v>
      </c>
      <c r="B8" s="68" t="s">
        <v>294</v>
      </c>
      <c r="C8" s="78" t="s">
        <v>295</v>
      </c>
      <c r="D8" s="78" t="s">
        <v>296</v>
      </c>
      <c r="E8" s="71" t="n">
        <v>2</v>
      </c>
      <c r="F8" s="18"/>
      <c r="G8" s="71" t="n">
        <f aca="false">E8-F8</f>
        <v>2</v>
      </c>
      <c r="H8" s="71" t="s">
        <v>291</v>
      </c>
      <c r="I8" s="69" t="s">
        <v>297</v>
      </c>
    </row>
    <row r="9" customFormat="false" ht="15.75" hidden="false" customHeight="true" outlineLevel="0" collapsed="false">
      <c r="A9" s="79" t="s">
        <v>298</v>
      </c>
      <c r="B9" s="79" t="s">
        <v>299</v>
      </c>
      <c r="C9" s="80" t="s">
        <v>300</v>
      </c>
      <c r="D9" s="80" t="s">
        <v>301</v>
      </c>
      <c r="E9" s="81" t="n">
        <v>3</v>
      </c>
      <c r="F9" s="18"/>
      <c r="G9" s="81" t="n">
        <f aca="false">E9-F9</f>
        <v>3</v>
      </c>
      <c r="H9" s="81" t="s">
        <v>291</v>
      </c>
      <c r="I9" s="82"/>
    </row>
    <row r="10" customFormat="false" ht="15.75" hidden="false" customHeight="true" outlineLevel="0" collapsed="false">
      <c r="A10" s="79" t="s">
        <v>302</v>
      </c>
      <c r="B10" s="79" t="s">
        <v>303</v>
      </c>
      <c r="C10" s="80" t="s">
        <v>304</v>
      </c>
      <c r="D10" s="80" t="s">
        <v>305</v>
      </c>
      <c r="E10" s="81" t="n">
        <v>5</v>
      </c>
      <c r="F10" s="18"/>
      <c r="G10" s="81" t="n">
        <f aca="false">E10-F10</f>
        <v>5</v>
      </c>
      <c r="H10" s="81" t="s">
        <v>291</v>
      </c>
      <c r="I10" s="82"/>
    </row>
    <row r="11" customFormat="false" ht="15.75" hidden="false" customHeight="true" outlineLevel="0" collapsed="false">
      <c r="A11" s="57" t="s">
        <v>306</v>
      </c>
      <c r="B11" s="57" t="s">
        <v>307</v>
      </c>
      <c r="C11" s="83" t="s">
        <v>308</v>
      </c>
      <c r="D11" s="83" t="s">
        <v>309</v>
      </c>
      <c r="E11" s="23" t="n">
        <v>8</v>
      </c>
      <c r="F11" s="18"/>
      <c r="G11" s="23" t="n">
        <f aca="false">E11-F11</f>
        <v>8</v>
      </c>
      <c r="H11" s="23" t="s">
        <v>310</v>
      </c>
      <c r="I11" s="58"/>
    </row>
    <row r="12" customFormat="false" ht="15.75" hidden="false" customHeight="true" outlineLevel="0" collapsed="false">
      <c r="A12" s="57" t="s">
        <v>311</v>
      </c>
      <c r="B12" s="57" t="s">
        <v>312</v>
      </c>
      <c r="C12" s="83" t="s">
        <v>313</v>
      </c>
      <c r="D12" s="83" t="s">
        <v>314</v>
      </c>
      <c r="E12" s="23" t="n">
        <v>12</v>
      </c>
      <c r="F12" s="18"/>
      <c r="G12" s="23" t="n">
        <f aca="false">E12-F12</f>
        <v>12</v>
      </c>
      <c r="H12" s="23" t="s">
        <v>310</v>
      </c>
      <c r="I12" s="58"/>
    </row>
    <row r="13" customFormat="false" ht="15.75" hidden="false" customHeight="true" outlineLevel="0" collapsed="false">
      <c r="A13" s="60" t="s">
        <v>315</v>
      </c>
      <c r="B13" s="60" t="s">
        <v>316</v>
      </c>
      <c r="C13" s="84" t="s">
        <v>317</v>
      </c>
      <c r="D13" s="84" t="s">
        <v>318</v>
      </c>
      <c r="E13" s="63" t="n">
        <v>20</v>
      </c>
      <c r="F13" s="18"/>
      <c r="G13" s="63" t="n">
        <f aca="false">E13-F13</f>
        <v>20</v>
      </c>
      <c r="H13" s="63" t="s">
        <v>291</v>
      </c>
      <c r="I13" s="61"/>
    </row>
    <row r="14" customFormat="false" ht="15.75" hidden="false" customHeight="true" outlineLevel="0" collapsed="false">
      <c r="A14" s="60" t="s">
        <v>319</v>
      </c>
      <c r="B14" s="60" t="s">
        <v>320</v>
      </c>
      <c r="C14" s="84" t="s">
        <v>321</v>
      </c>
      <c r="D14" s="84" t="s">
        <v>322</v>
      </c>
      <c r="E14" s="63" t="n">
        <v>30</v>
      </c>
      <c r="F14" s="18"/>
      <c r="G14" s="63" t="n">
        <f aca="false">E14-F14</f>
        <v>30</v>
      </c>
      <c r="H14" s="63" t="s">
        <v>291</v>
      </c>
      <c r="I14" s="61"/>
    </row>
    <row r="15" customFormat="false" ht="15.75" hidden="false" customHeight="true" outlineLevel="0" collapsed="false">
      <c r="A15" s="64" t="s">
        <v>323</v>
      </c>
      <c r="B15" s="64" t="s">
        <v>324</v>
      </c>
      <c r="C15" s="85" t="s">
        <v>325</v>
      </c>
      <c r="D15" s="85" t="s">
        <v>326</v>
      </c>
      <c r="E15" s="67" t="n">
        <v>50</v>
      </c>
      <c r="F15" s="18"/>
      <c r="G15" s="67" t="n">
        <f aca="false">E15-F15</f>
        <v>50</v>
      </c>
      <c r="H15" s="67" t="s">
        <v>291</v>
      </c>
      <c r="I15" s="65"/>
    </row>
    <row r="16" customFormat="false" ht="15.75" hidden="false" customHeight="true" outlineLevel="0" collapsed="false">
      <c r="A16" s="64" t="s">
        <v>327</v>
      </c>
      <c r="B16" s="64" t="s">
        <v>328</v>
      </c>
      <c r="C16" s="85" t="s">
        <v>329</v>
      </c>
      <c r="D16" s="85" t="s">
        <v>330</v>
      </c>
      <c r="E16" s="67" t="n">
        <v>150</v>
      </c>
      <c r="F16" s="18"/>
      <c r="G16" s="67" t="n">
        <f aca="false">E16-F16</f>
        <v>150</v>
      </c>
      <c r="H16" s="67" t="s">
        <v>291</v>
      </c>
      <c r="I16" s="65"/>
    </row>
    <row r="17" customFormat="false" ht="15.75" hidden="false" customHeight="true" outlineLevel="0" collapsed="false">
      <c r="A17" s="72" t="s">
        <v>331</v>
      </c>
      <c r="B17" s="72" t="s">
        <v>332</v>
      </c>
      <c r="C17" s="86" t="s">
        <v>333</v>
      </c>
      <c r="D17" s="86" t="s">
        <v>334</v>
      </c>
      <c r="E17" s="75"/>
      <c r="F17" s="18"/>
      <c r="G17" s="75"/>
      <c r="H17" s="75" t="s">
        <v>291</v>
      </c>
      <c r="I17" s="73"/>
    </row>
    <row r="18" customFormat="false" ht="7.5" hidden="false" customHeight="true" outlineLevel="0" collapsed="false"/>
    <row r="19" customFormat="false" ht="18" hidden="false" customHeight="true" outlineLevel="0" collapsed="false">
      <c r="A19" s="8" t="s">
        <v>335</v>
      </c>
      <c r="B19" s="8"/>
      <c r="C19" s="8"/>
      <c r="D19" s="8"/>
      <c r="E19" s="8"/>
      <c r="F19" s="8"/>
      <c r="G19" s="8"/>
      <c r="H19" s="8"/>
      <c r="I19" s="8"/>
    </row>
    <row r="20" customFormat="false" ht="15.75" hidden="false" customHeight="true" outlineLevel="0" collapsed="false">
      <c r="A20" s="28" t="s">
        <v>336</v>
      </c>
      <c r="B20" s="28" t="s">
        <v>337</v>
      </c>
      <c r="C20" s="28" t="s">
        <v>338</v>
      </c>
      <c r="D20" s="28" t="s">
        <v>339</v>
      </c>
      <c r="E20" s="28" t="s">
        <v>340</v>
      </c>
      <c r="F20" s="28" t="s">
        <v>341</v>
      </c>
      <c r="G20" s="28" t="s">
        <v>342</v>
      </c>
      <c r="H20" s="28" t="s">
        <v>343</v>
      </c>
    </row>
    <row r="21" customFormat="false" ht="15.75" hidden="false" customHeight="true" outlineLevel="0" collapsed="false">
      <c r="A21" s="87" t="s">
        <v>344</v>
      </c>
      <c r="B21" s="88" t="s">
        <v>345</v>
      </c>
      <c r="C21" s="88" t="s">
        <v>346</v>
      </c>
      <c r="D21" s="88" t="s">
        <v>347</v>
      </c>
      <c r="E21" s="88" t="s">
        <v>348</v>
      </c>
      <c r="F21" s="88" t="s">
        <v>349</v>
      </c>
      <c r="G21" s="88" t="s">
        <v>350</v>
      </c>
      <c r="H21" s="88" t="s">
        <v>351</v>
      </c>
    </row>
    <row r="22" customFormat="false" ht="15.75" hidden="false" customHeight="true" outlineLevel="0" collapsed="false">
      <c r="A22" s="89" t="s">
        <v>352</v>
      </c>
      <c r="B22" s="90" t="s">
        <v>345</v>
      </c>
      <c r="C22" s="90" t="s">
        <v>346</v>
      </c>
      <c r="D22" s="90" t="s">
        <v>347</v>
      </c>
      <c r="E22" s="90" t="s">
        <v>348</v>
      </c>
      <c r="F22" s="90" t="s">
        <v>349</v>
      </c>
      <c r="G22" s="90" t="s">
        <v>353</v>
      </c>
      <c r="H22" s="90" t="s">
        <v>354</v>
      </c>
    </row>
    <row r="23" customFormat="false" ht="15.75" hidden="false" customHeight="true" outlineLevel="0" collapsed="false">
      <c r="A23" s="87" t="s">
        <v>355</v>
      </c>
      <c r="B23" s="88" t="s">
        <v>356</v>
      </c>
      <c r="C23" s="88" t="s">
        <v>357</v>
      </c>
      <c r="D23" s="88" t="s">
        <v>347</v>
      </c>
      <c r="E23" s="88" t="s">
        <v>358</v>
      </c>
      <c r="F23" s="88" t="s">
        <v>359</v>
      </c>
      <c r="G23" s="88" t="s">
        <v>360</v>
      </c>
      <c r="H23" s="88" t="s">
        <v>361</v>
      </c>
    </row>
    <row r="24" customFormat="false" ht="15.75" hidden="false" customHeight="true" outlineLevel="0" collapsed="false">
      <c r="A24" s="89" t="s">
        <v>362</v>
      </c>
      <c r="B24" s="90" t="s">
        <v>356</v>
      </c>
      <c r="C24" s="90" t="s">
        <v>363</v>
      </c>
      <c r="D24" s="90" t="s">
        <v>360</v>
      </c>
      <c r="E24" s="90" t="s">
        <v>358</v>
      </c>
      <c r="F24" s="90" t="s">
        <v>349</v>
      </c>
      <c r="G24" s="90" t="s">
        <v>360</v>
      </c>
      <c r="H24" s="90" t="s">
        <v>364</v>
      </c>
    </row>
    <row r="25" customFormat="false" ht="15.75" hidden="false" customHeight="true" outlineLevel="0" collapsed="false">
      <c r="A25" s="87" t="s">
        <v>365</v>
      </c>
      <c r="B25" s="88" t="s">
        <v>366</v>
      </c>
      <c r="C25" s="88" t="s">
        <v>367</v>
      </c>
      <c r="D25" s="88" t="s">
        <v>360</v>
      </c>
      <c r="E25" s="88" t="s">
        <v>368</v>
      </c>
      <c r="F25" s="88" t="s">
        <v>369</v>
      </c>
      <c r="G25" s="88" t="s">
        <v>370</v>
      </c>
      <c r="H25" s="88" t="s">
        <v>371</v>
      </c>
    </row>
    <row r="26" customFormat="false" ht="15.75" hidden="false" customHeight="true" outlineLevel="0" collapsed="false">
      <c r="A26" s="89" t="s">
        <v>372</v>
      </c>
      <c r="B26" s="90" t="s">
        <v>366</v>
      </c>
      <c r="C26" s="90" t="s">
        <v>367</v>
      </c>
      <c r="D26" s="90" t="s">
        <v>360</v>
      </c>
      <c r="E26" s="90" t="s">
        <v>368</v>
      </c>
      <c r="F26" s="90" t="s">
        <v>370</v>
      </c>
      <c r="G26" s="90" t="s">
        <v>370</v>
      </c>
      <c r="H26" s="90" t="s">
        <v>371</v>
      </c>
    </row>
    <row r="27" customFormat="false" ht="15.75" hidden="false" customHeight="true" outlineLevel="0" collapsed="false">
      <c r="A27" s="87" t="s">
        <v>373</v>
      </c>
      <c r="B27" s="88" t="s">
        <v>374</v>
      </c>
      <c r="C27" s="88" t="s">
        <v>370</v>
      </c>
      <c r="D27" s="88" t="s">
        <v>360</v>
      </c>
      <c r="E27" s="88" t="s">
        <v>375</v>
      </c>
      <c r="F27" s="88" t="s">
        <v>370</v>
      </c>
      <c r="G27" s="88" t="s">
        <v>370</v>
      </c>
      <c r="H27" s="88" t="s">
        <v>376</v>
      </c>
    </row>
    <row r="28" customFormat="false" ht="15.75" hidden="false" customHeight="true" outlineLevel="0" collapsed="false">
      <c r="A28" s="89" t="s">
        <v>377</v>
      </c>
      <c r="B28" s="90" t="s">
        <v>374</v>
      </c>
      <c r="C28" s="90" t="s">
        <v>370</v>
      </c>
      <c r="D28" s="90" t="s">
        <v>378</v>
      </c>
      <c r="E28" s="90" t="s">
        <v>375</v>
      </c>
      <c r="F28" s="90" t="s">
        <v>370</v>
      </c>
      <c r="G28" s="90" t="s">
        <v>370</v>
      </c>
      <c r="H28" s="90" t="s">
        <v>379</v>
      </c>
    </row>
  </sheetData>
  <mergeCells count="5">
    <mergeCell ref="A1:I1"/>
    <mergeCell ref="A2:I2"/>
    <mergeCell ref="A3:I3"/>
    <mergeCell ref="A5:I5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2026-05-11T13:35:21Z</dcterms:created>
  <dc:creator>openpyxl</dc:creator>
  <dc:description/>
  <dc:language>en-US</dc:language>
  <cp:lastModifiedBy/>
  <dcterms:modified xsi:type="dcterms:W3CDTF">2026-05-11T13:35:21Z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